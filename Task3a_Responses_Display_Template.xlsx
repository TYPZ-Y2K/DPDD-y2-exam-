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kcollegeacuk-my.sharepoint.com/personal/345857_edu_mkcollege_ac_uk/Documents/"/>
    </mc:Choice>
  </mc:AlternateContent>
  <xr:revisionPtr revIDLastSave="0" documentId="8_{06C20F03-3DCF-47A2-850E-03BE3BEB762D}" xr6:coauthVersionLast="47" xr6:coauthVersionMax="47" xr10:uidLastSave="{00000000-0000-0000-0000-000000000000}"/>
  <bookViews>
    <workbookView xWindow="-110" yWindow="-110" windowWidth="19420" windowHeight="11020" firstSheet="3" activeTab="3" xr2:uid="{00000000-000D-0000-FFFF-FFFF00000000}"/>
  </bookViews>
  <sheets>
    <sheet name="README" sheetId="1" r:id="rId1"/>
    <sheet name="Raw_Responses" sheetId="2" r:id="rId2"/>
    <sheet name="Question_Map" sheetId="3" r:id="rId3"/>
    <sheet name="Scales_Averages" sheetId="4" r:id="rId4"/>
    <sheet name="Scale_Distribution" sheetId="5" r:id="rId5"/>
    <sheet name="MCQ_Summary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E21" i="5"/>
  <c r="D21" i="5"/>
  <c r="C21" i="5"/>
  <c r="O21" i="5" s="1"/>
  <c r="B21" i="5"/>
  <c r="A21" i="5"/>
  <c r="E20" i="5"/>
  <c r="D20" i="5"/>
  <c r="C20" i="5"/>
  <c r="N20" i="5" s="1"/>
  <c r="B20" i="5"/>
  <c r="A20" i="5"/>
  <c r="O19" i="5"/>
  <c r="E19" i="5"/>
  <c r="D19" i="5"/>
  <c r="C19" i="5"/>
  <c r="M19" i="5" s="1"/>
  <c r="B19" i="5"/>
  <c r="A19" i="5"/>
  <c r="E18" i="5"/>
  <c r="D18" i="5"/>
  <c r="C18" i="5"/>
  <c r="L18" i="5" s="1"/>
  <c r="B18" i="5"/>
  <c r="A18" i="5"/>
  <c r="E17" i="5"/>
  <c r="D17" i="5"/>
  <c r="C17" i="5"/>
  <c r="K17" i="5" s="1"/>
  <c r="B17" i="5"/>
  <c r="A17" i="5"/>
  <c r="E16" i="5"/>
  <c r="D16" i="5"/>
  <c r="C16" i="5"/>
  <c r="J16" i="5" s="1"/>
  <c r="B16" i="5"/>
  <c r="A16" i="5"/>
  <c r="M15" i="5"/>
  <c r="H15" i="5"/>
  <c r="F15" i="5"/>
  <c r="E15" i="5"/>
  <c r="D15" i="5"/>
  <c r="C15" i="5"/>
  <c r="I15" i="5" s="1"/>
  <c r="B15" i="5"/>
  <c r="A15" i="5"/>
  <c r="J14" i="5"/>
  <c r="E14" i="5"/>
  <c r="D14" i="5"/>
  <c r="C14" i="5"/>
  <c r="N14" i="5" s="1"/>
  <c r="B14" i="5"/>
  <c r="A14" i="5"/>
  <c r="E13" i="5"/>
  <c r="D13" i="5"/>
  <c r="C13" i="5"/>
  <c r="O13" i="5" s="1"/>
  <c r="B13" i="5"/>
  <c r="A13" i="5"/>
  <c r="E12" i="5"/>
  <c r="D12" i="5"/>
  <c r="C12" i="5"/>
  <c r="N12" i="5" s="1"/>
  <c r="B12" i="5"/>
  <c r="A12" i="5"/>
  <c r="O11" i="5"/>
  <c r="J11" i="5"/>
  <c r="G11" i="5"/>
  <c r="F11" i="5"/>
  <c r="E11" i="5"/>
  <c r="D11" i="5"/>
  <c r="C11" i="5"/>
  <c r="K11" i="5" s="1"/>
  <c r="B11" i="5"/>
  <c r="A11" i="5"/>
  <c r="E10" i="5"/>
  <c r="D10" i="5"/>
  <c r="C10" i="5"/>
  <c r="L10" i="5" s="1"/>
  <c r="B10" i="5"/>
  <c r="A10" i="5"/>
  <c r="G9" i="5"/>
  <c r="E9" i="5"/>
  <c r="D9" i="5"/>
  <c r="C9" i="5"/>
  <c r="K9" i="5" s="1"/>
  <c r="B9" i="5"/>
  <c r="A9" i="5"/>
  <c r="E8" i="5"/>
  <c r="D8" i="5"/>
  <c r="C8" i="5"/>
  <c r="J8" i="5" s="1"/>
  <c r="B8" i="5"/>
  <c r="A8" i="5"/>
  <c r="E7" i="5"/>
  <c r="D7" i="5"/>
  <c r="C7" i="5"/>
  <c r="M7" i="5" s="1"/>
  <c r="B7" i="5"/>
  <c r="A7" i="5"/>
  <c r="O6" i="5"/>
  <c r="E6" i="5"/>
  <c r="D6" i="5"/>
  <c r="C6" i="5"/>
  <c r="B6" i="5"/>
  <c r="A6" i="5"/>
  <c r="E5" i="5"/>
  <c r="D5" i="5"/>
  <c r="C5" i="5"/>
  <c r="B5" i="5"/>
  <c r="A5" i="5"/>
  <c r="E4" i="5"/>
  <c r="D4" i="5"/>
  <c r="C4" i="5"/>
  <c r="B4" i="5"/>
  <c r="A4" i="5"/>
  <c r="E3" i="5"/>
  <c r="D3" i="5"/>
  <c r="C3" i="5"/>
  <c r="B3" i="5"/>
  <c r="A3" i="5"/>
  <c r="E2" i="5"/>
  <c r="D2" i="5"/>
  <c r="C2" i="5"/>
  <c r="B2" i="5"/>
  <c r="A2" i="5"/>
  <c r="K2" i="5" s="1"/>
  <c r="A31" i="4"/>
  <c r="D31" i="4" s="1"/>
  <c r="A30" i="4"/>
  <c r="D30" i="4" s="1"/>
  <c r="A29" i="4"/>
  <c r="D29" i="4" s="1"/>
  <c r="A28" i="4"/>
  <c r="D28" i="4" s="1"/>
  <c r="A27" i="4"/>
  <c r="D27" i="4" s="1"/>
  <c r="A26" i="4"/>
  <c r="D26" i="4" s="1"/>
  <c r="A25" i="4"/>
  <c r="D25" i="4" s="1"/>
  <c r="A24" i="4"/>
  <c r="D24" i="4" s="1"/>
  <c r="A23" i="4"/>
  <c r="D23" i="4" s="1"/>
  <c r="A22" i="4"/>
  <c r="D22" i="4" s="1"/>
  <c r="A21" i="4"/>
  <c r="D21" i="4" s="1"/>
  <c r="A20" i="4"/>
  <c r="D20" i="4" s="1"/>
  <c r="A19" i="4"/>
  <c r="D19" i="4" s="1"/>
  <c r="A18" i="4"/>
  <c r="D18" i="4" s="1"/>
  <c r="A17" i="4"/>
  <c r="D17" i="4" s="1"/>
  <c r="A16" i="4"/>
  <c r="D16" i="4" s="1"/>
  <c r="H15" i="4"/>
  <c r="A15" i="4"/>
  <c r="B15" i="4" s="1"/>
  <c r="A14" i="4"/>
  <c r="B14" i="4" s="1"/>
  <c r="A13" i="4"/>
  <c r="B13" i="4" s="1"/>
  <c r="A12" i="4"/>
  <c r="B12" i="4" s="1"/>
  <c r="A11" i="4"/>
  <c r="A13" i="7" s="1"/>
  <c r="A10" i="4"/>
  <c r="B10" i="4" s="1"/>
  <c r="A9" i="4"/>
  <c r="B9" i="4" s="1"/>
  <c r="A8" i="4"/>
  <c r="B8" i="4" s="1"/>
  <c r="A7" i="4"/>
  <c r="A9" i="7" s="1"/>
  <c r="A6" i="4"/>
  <c r="B6" i="4" s="1"/>
  <c r="A5" i="4"/>
  <c r="A4" i="4"/>
  <c r="C4" i="4" s="1"/>
  <c r="A3" i="4"/>
  <c r="A2" i="4"/>
  <c r="C2" i="4" s="1"/>
  <c r="J7" i="5" l="1"/>
  <c r="H9" i="5"/>
  <c r="I11" i="5"/>
  <c r="L14" i="5"/>
  <c r="J15" i="5"/>
  <c r="J9" i="5"/>
  <c r="L9" i="5"/>
  <c r="L11" i="5"/>
  <c r="J12" i="5"/>
  <c r="M9" i="5"/>
  <c r="N11" i="5"/>
  <c r="M12" i="5"/>
  <c r="O12" i="5"/>
  <c r="C18" i="4"/>
  <c r="N4" i="5"/>
  <c r="H10" i="4"/>
  <c r="C29" i="4"/>
  <c r="I3" i="5"/>
  <c r="M14" i="5"/>
  <c r="H6" i="5"/>
  <c r="O14" i="5"/>
  <c r="F16" i="5"/>
  <c r="G17" i="5"/>
  <c r="M4" i="5"/>
  <c r="G14" i="5"/>
  <c r="N15" i="5"/>
  <c r="N16" i="5"/>
  <c r="J17" i="5"/>
  <c r="I19" i="5"/>
  <c r="C26" i="4"/>
  <c r="O9" i="5"/>
  <c r="H14" i="5"/>
  <c r="L17" i="5"/>
  <c r="H18" i="5"/>
  <c r="J19" i="5"/>
  <c r="J20" i="5"/>
  <c r="O17" i="5"/>
  <c r="J4" i="5"/>
  <c r="H10" i="5"/>
  <c r="I16" i="5"/>
  <c r="H17" i="5"/>
  <c r="G19" i="5"/>
  <c r="H20" i="4"/>
  <c r="M11" i="5"/>
  <c r="G12" i="5"/>
  <c r="I14" i="5"/>
  <c r="M17" i="5"/>
  <c r="L19" i="5"/>
  <c r="H7" i="4"/>
  <c r="H12" i="4"/>
  <c r="H26" i="4"/>
  <c r="C31" i="4"/>
  <c r="C21" i="4"/>
  <c r="H31" i="4"/>
  <c r="C23" i="4"/>
  <c r="H18" i="4"/>
  <c r="H23" i="4"/>
  <c r="H28" i="4"/>
  <c r="C10" i="4"/>
  <c r="C15" i="4"/>
  <c r="F8" i="4"/>
  <c r="H13" i="4"/>
  <c r="C6" i="4"/>
  <c r="H8" i="4"/>
  <c r="C11" i="4"/>
  <c r="H16" i="4"/>
  <c r="C19" i="4"/>
  <c r="H24" i="4"/>
  <c r="C27" i="4"/>
  <c r="H6" i="4"/>
  <c r="H19" i="4"/>
  <c r="C22" i="4"/>
  <c r="C30" i="4"/>
  <c r="N6" i="5"/>
  <c r="I7" i="5"/>
  <c r="H14" i="4"/>
  <c r="C17" i="4"/>
  <c r="H22" i="4"/>
  <c r="C25" i="4"/>
  <c r="H30" i="4"/>
  <c r="C8" i="4"/>
  <c r="C13" i="4"/>
  <c r="C16" i="4"/>
  <c r="C24" i="4"/>
  <c r="C9" i="4"/>
  <c r="C7" i="4"/>
  <c r="H9" i="4"/>
  <c r="C12" i="4"/>
  <c r="H17" i="4"/>
  <c r="C20" i="4"/>
  <c r="H25" i="4"/>
  <c r="C28" i="4"/>
  <c r="H2" i="5"/>
  <c r="H21" i="4"/>
  <c r="H29" i="4"/>
  <c r="H11" i="4"/>
  <c r="C14" i="4"/>
  <c r="H27" i="4"/>
  <c r="G6" i="5"/>
  <c r="H7" i="5"/>
  <c r="L6" i="5"/>
  <c r="B5" i="4"/>
  <c r="A7" i="7"/>
  <c r="F5" i="4"/>
  <c r="E5" i="4"/>
  <c r="B7" i="7" s="1"/>
  <c r="D5" i="4"/>
  <c r="H2" i="4"/>
  <c r="G2" i="4" s="1"/>
  <c r="M3" i="5"/>
  <c r="J3" i="5"/>
  <c r="O3" i="5"/>
  <c r="G3" i="5"/>
  <c r="N3" i="5"/>
  <c r="F3" i="5"/>
  <c r="O5" i="5"/>
  <c r="G5" i="5"/>
  <c r="M5" i="5"/>
  <c r="L5" i="5"/>
  <c r="J5" i="5"/>
  <c r="I5" i="5"/>
  <c r="H5" i="5"/>
  <c r="H5" i="4"/>
  <c r="G5" i="4" s="1"/>
  <c r="K3" i="5"/>
  <c r="C5" i="4"/>
  <c r="A5" i="7"/>
  <c r="B3" i="4"/>
  <c r="F3" i="4"/>
  <c r="E3" i="4"/>
  <c r="B5" i="7" s="1"/>
  <c r="D3" i="4"/>
  <c r="C3" i="4"/>
  <c r="H3" i="4"/>
  <c r="G3" i="4" s="1"/>
  <c r="L2" i="5"/>
  <c r="J2" i="5"/>
  <c r="I2" i="5"/>
  <c r="O2" i="5"/>
  <c r="G2" i="5"/>
  <c r="N2" i="5"/>
  <c r="F2" i="5"/>
  <c r="M2" i="5"/>
  <c r="F5" i="5"/>
  <c r="B4" i="4"/>
  <c r="F4" i="4"/>
  <c r="E4" i="4"/>
  <c r="B6" i="7" s="1"/>
  <c r="D4" i="4"/>
  <c r="A6" i="7"/>
  <c r="K5" i="5"/>
  <c r="N5" i="5"/>
  <c r="B2" i="4"/>
  <c r="F2" i="4"/>
  <c r="E2" i="4"/>
  <c r="B4" i="7" s="1"/>
  <c r="D2" i="4"/>
  <c r="H4" i="4"/>
  <c r="G4" i="4" s="1"/>
  <c r="L3" i="5"/>
  <c r="K8" i="5"/>
  <c r="M10" i="5"/>
  <c r="H13" i="5"/>
  <c r="K16" i="5"/>
  <c r="M18" i="5"/>
  <c r="F19" i="5"/>
  <c r="N19" i="5"/>
  <c r="G20" i="5"/>
  <c r="O20" i="5"/>
  <c r="H21" i="5"/>
  <c r="A10" i="7"/>
  <c r="D6" i="4"/>
  <c r="D7" i="4"/>
  <c r="D8" i="4"/>
  <c r="D9" i="4"/>
  <c r="D10" i="4"/>
  <c r="D11" i="4"/>
  <c r="D12" i="4"/>
  <c r="D13" i="4"/>
  <c r="D14" i="4"/>
  <c r="D15" i="4"/>
  <c r="E6" i="4"/>
  <c r="B8" i="7" s="1"/>
  <c r="E7" i="4"/>
  <c r="B9" i="7" s="1"/>
  <c r="E8" i="4"/>
  <c r="B10" i="7" s="1"/>
  <c r="E9" i="4"/>
  <c r="B11" i="7" s="1"/>
  <c r="E10" i="4"/>
  <c r="B12" i="7" s="1"/>
  <c r="E11" i="4"/>
  <c r="B13" i="7" s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G4" i="5"/>
  <c r="O4" i="5"/>
  <c r="I6" i="5"/>
  <c r="F6" i="4"/>
  <c r="F7" i="4"/>
  <c r="F9" i="4"/>
  <c r="F11" i="4"/>
  <c r="F14" i="4"/>
  <c r="F15" i="4"/>
  <c r="F17" i="4"/>
  <c r="F19" i="4"/>
  <c r="F21" i="4"/>
  <c r="F25" i="4"/>
  <c r="F31" i="4"/>
  <c r="J6" i="5"/>
  <c r="K7" i="5"/>
  <c r="L8" i="5"/>
  <c r="I21" i="5"/>
  <c r="F10" i="4"/>
  <c r="F12" i="4"/>
  <c r="F13" i="4"/>
  <c r="F16" i="4"/>
  <c r="F18" i="4"/>
  <c r="F20" i="4"/>
  <c r="F22" i="4"/>
  <c r="F23" i="4"/>
  <c r="F24" i="4"/>
  <c r="F26" i="4"/>
  <c r="F27" i="4"/>
  <c r="F28" i="4"/>
  <c r="F29" i="4"/>
  <c r="F30" i="4"/>
  <c r="H4" i="5"/>
  <c r="F10" i="5"/>
  <c r="N10" i="5"/>
  <c r="H12" i="5"/>
  <c r="I13" i="5"/>
  <c r="K15" i="5"/>
  <c r="L16" i="5"/>
  <c r="F18" i="5"/>
  <c r="N18" i="5"/>
  <c r="H20" i="5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3" i="5"/>
  <c r="I4" i="5"/>
  <c r="K6" i="5"/>
  <c r="L7" i="5"/>
  <c r="M8" i="5"/>
  <c r="F9" i="5"/>
  <c r="N9" i="5"/>
  <c r="G10" i="5"/>
  <c r="O10" i="5"/>
  <c r="H11" i="5"/>
  <c r="I12" i="5"/>
  <c r="J13" i="5"/>
  <c r="K14" i="5"/>
  <c r="L15" i="5"/>
  <c r="M16" i="5"/>
  <c r="F17" i="5"/>
  <c r="N17" i="5"/>
  <c r="G18" i="5"/>
  <c r="O18" i="5"/>
  <c r="H19" i="5"/>
  <c r="I20" i="5"/>
  <c r="J21" i="5"/>
  <c r="A11" i="7"/>
  <c r="F8" i="5"/>
  <c r="N8" i="5"/>
  <c r="K13" i="5"/>
  <c r="K21" i="5"/>
  <c r="K4" i="5"/>
  <c r="M6" i="5"/>
  <c r="F7" i="5"/>
  <c r="N7" i="5"/>
  <c r="G8" i="5"/>
  <c r="O8" i="5"/>
  <c r="L21" i="5"/>
  <c r="A8" i="7"/>
  <c r="A12" i="7"/>
  <c r="I10" i="5"/>
  <c r="K12" i="5"/>
  <c r="L13" i="5"/>
  <c r="G16" i="5"/>
  <c r="O16" i="5"/>
  <c r="I18" i="5"/>
  <c r="K20" i="5"/>
  <c r="B7" i="4"/>
  <c r="B11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L4" i="5"/>
  <c r="F6" i="5"/>
  <c r="G7" i="5"/>
  <c r="O7" i="5"/>
  <c r="H8" i="5"/>
  <c r="I9" i="5"/>
  <c r="J10" i="5"/>
  <c r="L12" i="5"/>
  <c r="M13" i="5"/>
  <c r="F14" i="5"/>
  <c r="G15" i="5"/>
  <c r="O15" i="5"/>
  <c r="H16" i="5"/>
  <c r="I17" i="5"/>
  <c r="J18" i="5"/>
  <c r="K19" i="5"/>
  <c r="L20" i="5"/>
  <c r="M21" i="5"/>
  <c r="I8" i="5"/>
  <c r="K10" i="5"/>
  <c r="F13" i="5"/>
  <c r="N13" i="5"/>
  <c r="K18" i="5"/>
  <c r="M20" i="5"/>
  <c r="F21" i="5"/>
  <c r="N21" i="5"/>
  <c r="F4" i="5"/>
  <c r="F12" i="5"/>
  <c r="G13" i="5"/>
  <c r="F20" i="5"/>
  <c r="G21" i="5"/>
</calcChain>
</file>

<file path=xl/sharedStrings.xml><?xml version="1.0" encoding="utf-8"?>
<sst xmlns="http://schemas.openxmlformats.org/spreadsheetml/2006/main" count="101" uniqueCount="69">
  <si>
    <t>Task 3a – Excel Display Template (Plug &amp; Play)</t>
  </si>
  <si>
    <t>How to use (5 mins):</t>
  </si>
  <si>
    <t>1) Export your Google Form responses as CSV (Google Forms → Responses → three-dots → Download responses (.csv)).</t>
  </si>
  <si>
    <t>2) Open this workbook and go to the 'Raw_Responses' sheet.</t>
  </si>
  <si>
    <t>3) Paste the CSV starting in cell A1 (include the header row).</t>
  </si>
  <si>
    <t>4) On 'Question_Map', list the exact header text for each question and set the Type to Scale / MCQ / Text, Audience to NonTech/Tech, and (for scales) set ScaleMin and ScaleMax.</t>
  </si>
  <si>
    <t>5) Averages, distributions and summaries will populate automatically in the 'Scales_Averages' and 'Scale_Distribution' sheets.</t>
  </si>
  <si>
    <t>6) Use the 'MCQ_Summary' sheet by listing an MCQ header and its known options. Counts will fill automatically.</t>
  </si>
  <si>
    <t>7) The 'Dashboard' chart will reflect the first 10 scale questions. Extend the chart range if you have more.</t>
  </si>
  <si>
    <t>Notes:</t>
  </si>
  <si>
    <t>- This template works best on Excel 365. If you see #NAME? errors, update Excel.</t>
  </si>
  <si>
    <t>- Keep your header texts in Question_Map EXACTLY matching the first row in Raw_Responses.</t>
  </si>
  <si>
    <t>- No personal data should be included. Anonymise before sharing.</t>
  </si>
  <si>
    <t>Timestamp</t>
  </si>
  <si>
    <t>Audience</t>
  </si>
  <si>
    <t>I could complete the key tasks without help.</t>
  </si>
  <si>
    <t>Labels and buttons were clear.</t>
  </si>
  <si>
    <t>The layout was easy to navigate.</t>
  </si>
  <si>
    <t>Pages loaded fast enough.</t>
  </si>
  <si>
    <t>I would trust how my data is handled.</t>
  </si>
  <si>
    <t>It worked comfortably on my phone/tablet.</t>
  </si>
  <si>
    <t>Text size/contrast were easy to read.</t>
  </si>
  <si>
    <t>Overall, it meets my needs.</t>
  </si>
  <si>
    <t>Which feature was most useful?</t>
  </si>
  <si>
    <t>What confused you or slowed you down?</t>
  </si>
  <si>
    <t>Header</t>
  </si>
  <si>
    <t>Audience (NonTech/Tech)</t>
  </si>
  <si>
    <t>Type (Scale/MCQ/Text)</t>
  </si>
  <si>
    <t>ScaleMin</t>
  </si>
  <si>
    <t>ScaleMax</t>
  </si>
  <si>
    <t>Topic/Theme</t>
  </si>
  <si>
    <t>NonTech</t>
  </si>
  <si>
    <t>Scale</t>
  </si>
  <si>
    <t>Usability</t>
  </si>
  <si>
    <t>Navigation</t>
  </si>
  <si>
    <t>Performance</t>
  </si>
  <si>
    <t>Accessibility</t>
  </si>
  <si>
    <t>Satisfaction</t>
  </si>
  <si>
    <t>MCQ</t>
  </si>
  <si>
    <t>Usefulness</t>
  </si>
  <si>
    <t>Text</t>
  </si>
  <si>
    <t>Barriers</t>
  </si>
  <si>
    <t>Topic</t>
  </si>
  <si>
    <t>N</t>
  </si>
  <si>
    <t>Average</t>
  </si>
  <si>
    <t>Median</t>
  </si>
  <si>
    <t>% Top Box (&gt;=Threshold)</t>
  </si>
  <si>
    <t>Top Box Threshold</t>
  </si>
  <si>
    <t>If averages show zeros, ensure your Excel supports dynamic arrays; otherwise, use Pivot Tables (see README).</t>
  </si>
  <si>
    <t>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</si>
  <si>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</si>
  <si>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</si>
  <si>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</si>
  <si>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</si>
  <si>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</si>
  <si>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</si>
  <si>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</si>
  <si>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</si>
  <si>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</si>
  <si>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</si>
  <si>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Header (MCQ)</t>
  </si>
  <si>
    <t>Option</t>
  </si>
  <si>
    <t>Count</t>
  </si>
  <si>
    <t>Scale Question Averages (first 10 from Question_Map marked as Scale)</t>
  </si>
  <si>
    <t>What confused you or slowed you down and why?</t>
  </si>
  <si>
    <t>Top 2 improvements you'd like next</t>
  </si>
  <si>
    <t>Improvements</t>
  </si>
  <si>
    <t>Anything you liked that I should keep</t>
  </si>
  <si>
    <t>Keep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</si>
</sst>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score by question</a:t>
            </a:r>
          </a:p>
        </c:rich>
      </c:tx>
      <c:layout>
        <c:manualLayout>
          <c:xMode val="edge"/>
          <c:yMode val="edge"/>
          <c:x val="0.17147555555555555"/>
          <c:y val="1.4111111111111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Average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Dashboard!$A$4:$A$13</c:f>
              <c:strCache>
                <c:ptCount val="6"/>
                <c:pt idx="0">
                  <c:v>I could complete the key tasks without help.</c:v>
                </c:pt>
                <c:pt idx="1">
                  <c:v>Labels and buttons were clear.</c:v>
                </c:pt>
                <c:pt idx="2">
                  <c:v>The layout was easy to navigate.</c:v>
                </c:pt>
                <c:pt idx="3">
                  <c:v>Pages loaded fast enough.</c:v>
                </c:pt>
                <c:pt idx="4">
                  <c:v>It worked comfortably on my phone/tablet.</c:v>
                </c:pt>
                <c:pt idx="5">
                  <c:v>Overall, it meets my needs.</c:v>
                </c:pt>
              </c:strCache>
            </c:strRef>
          </c:cat>
          <c:val>
            <c:numRef>
              <c:f>Dashboard!$B$4:$B$13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6-474C-9CFC-6EF4818A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Question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88900</xdr:colOff>
      <xdr:row>1</xdr:row>
      <xdr:rowOff>63500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ponses" displayName="Responses" ref="A1:L2">
  <autoFilter ref="A1:L2" xr:uid="{00000000-0009-0000-0100-000001000000}"/>
  <tableColumns count="12">
    <tableColumn id="1" xr3:uid="{00000000-0010-0000-0000-000001000000}" name="Timestamp"/>
    <tableColumn id="2" xr3:uid="{00000000-0010-0000-0000-000002000000}" name="Audience"/>
    <tableColumn id="3" xr3:uid="{00000000-0010-0000-0000-000003000000}" name="I could complete the key tasks without help."/>
    <tableColumn id="4" xr3:uid="{00000000-0010-0000-0000-000004000000}" name="Labels and buttons were clear."/>
    <tableColumn id="5" xr3:uid="{00000000-0010-0000-0000-000005000000}" name="The layout was easy to navigate."/>
    <tableColumn id="6" xr3:uid="{00000000-0010-0000-0000-000006000000}" name="Pages loaded fast enough."/>
    <tableColumn id="7" xr3:uid="{00000000-0010-0000-0000-000007000000}" name="I would trust how my data is handled."/>
    <tableColumn id="8" xr3:uid="{00000000-0010-0000-0000-000008000000}" name="It worked comfortably on my phone/tablet."/>
    <tableColumn id="9" xr3:uid="{00000000-0010-0000-0000-000009000000}" name="Text size/contrast were easy to read."/>
    <tableColumn id="10" xr3:uid="{00000000-0010-0000-0000-00000A000000}" name="Overall, it meets my needs."/>
    <tableColumn id="11" xr3:uid="{00000000-0010-0000-0000-00000B000000}" name="Which feature was most useful?"/>
    <tableColumn id="12" xr3:uid="{00000000-0010-0000-0000-00000C000000}" name="What confused you or slowed you down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opLeftCell="A13" workbookViewId="0"/>
  </sheetViews>
  <sheetFormatPr defaultRowHeight="14.5" x14ac:dyDescent="0.35"/>
  <cols>
    <col min="1" max="1" width="120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topLeftCell="I1" workbookViewId="0"/>
  </sheetViews>
  <sheetFormatPr defaultRowHeight="14.5" x14ac:dyDescent="0.35"/>
  <cols>
    <col min="1" max="12" width="26" customWidth="1"/>
  </cols>
  <sheetData>
    <row r="1" spans="1:12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A3" sqref="A3"/>
    </sheetView>
  </sheetViews>
  <sheetFormatPr defaultRowHeight="14.5" x14ac:dyDescent="0.35"/>
  <cols>
    <col min="1" max="1" width="50" customWidth="1"/>
    <col min="2" max="3" width="22" customWidth="1"/>
    <col min="4" max="5" width="10" customWidth="1"/>
    <col min="6" max="6" width="20" customWidth="1"/>
  </cols>
  <sheetData>
    <row r="1" spans="1:6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5">
      <c r="A2" t="s">
        <v>15</v>
      </c>
      <c r="B2" t="s">
        <v>31</v>
      </c>
      <c r="C2" t="s">
        <v>32</v>
      </c>
      <c r="D2">
        <v>1</v>
      </c>
      <c r="E2">
        <v>10</v>
      </c>
      <c r="F2" t="s">
        <v>33</v>
      </c>
    </row>
    <row r="3" spans="1:6" x14ac:dyDescent="0.35">
      <c r="A3" t="s">
        <v>16</v>
      </c>
      <c r="B3" t="s">
        <v>31</v>
      </c>
      <c r="C3" t="s">
        <v>32</v>
      </c>
      <c r="D3">
        <v>1</v>
      </c>
      <c r="E3">
        <v>10</v>
      </c>
      <c r="F3" t="s">
        <v>34</v>
      </c>
    </row>
    <row r="4" spans="1:6" x14ac:dyDescent="0.35">
      <c r="A4" t="s">
        <v>17</v>
      </c>
      <c r="B4" t="s">
        <v>31</v>
      </c>
      <c r="C4" t="s">
        <v>32</v>
      </c>
      <c r="D4">
        <v>1</v>
      </c>
      <c r="E4">
        <v>10</v>
      </c>
      <c r="F4" t="s">
        <v>34</v>
      </c>
    </row>
    <row r="5" spans="1:6" x14ac:dyDescent="0.35">
      <c r="A5" t="s">
        <v>18</v>
      </c>
      <c r="B5" t="s">
        <v>31</v>
      </c>
      <c r="C5" t="s">
        <v>32</v>
      </c>
      <c r="D5">
        <v>1</v>
      </c>
      <c r="E5">
        <v>10</v>
      </c>
      <c r="F5" t="s">
        <v>35</v>
      </c>
    </row>
    <row r="6" spans="1:6" x14ac:dyDescent="0.35">
      <c r="A6" t="s">
        <v>20</v>
      </c>
      <c r="B6" t="s">
        <v>31</v>
      </c>
      <c r="C6" t="s">
        <v>32</v>
      </c>
      <c r="D6">
        <v>1</v>
      </c>
      <c r="E6">
        <v>10</v>
      </c>
      <c r="F6" t="s">
        <v>36</v>
      </c>
    </row>
    <row r="7" spans="1:6" x14ac:dyDescent="0.35">
      <c r="A7" t="s">
        <v>22</v>
      </c>
      <c r="B7" t="s">
        <v>31</v>
      </c>
      <c r="C7" t="s">
        <v>32</v>
      </c>
      <c r="D7">
        <v>1</v>
      </c>
      <c r="E7">
        <v>10</v>
      </c>
      <c r="F7" t="s">
        <v>37</v>
      </c>
    </row>
    <row r="8" spans="1:6" x14ac:dyDescent="0.35">
      <c r="A8" t="s">
        <v>23</v>
      </c>
      <c r="B8" t="s">
        <v>31</v>
      </c>
      <c r="C8" t="s">
        <v>38</v>
      </c>
      <c r="F8" t="s">
        <v>39</v>
      </c>
    </row>
    <row r="9" spans="1:6" x14ac:dyDescent="0.35">
      <c r="A9" t="s">
        <v>64</v>
      </c>
      <c r="B9" t="s">
        <v>31</v>
      </c>
      <c r="C9" t="s">
        <v>40</v>
      </c>
      <c r="F9" t="s">
        <v>41</v>
      </c>
    </row>
    <row r="10" spans="1:6" x14ac:dyDescent="0.35">
      <c r="A10" t="s">
        <v>65</v>
      </c>
      <c r="B10" t="s">
        <v>31</v>
      </c>
      <c r="C10" t="s">
        <v>40</v>
      </c>
      <c r="F10" t="s">
        <v>66</v>
      </c>
    </row>
    <row r="11" spans="1:6" x14ac:dyDescent="0.35">
      <c r="A11" t="s">
        <v>67</v>
      </c>
      <c r="B11" t="s">
        <v>31</v>
      </c>
      <c r="C11" t="s">
        <v>40</v>
      </c>
      <c r="F11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abSelected="1" workbookViewId="0">
      <selection activeCell="D15" sqref="D15"/>
    </sheetView>
  </sheetViews>
  <sheetFormatPr defaultRowHeight="14.5" x14ac:dyDescent="0.35"/>
  <cols>
    <col min="1" max="1" width="48" customWidth="1"/>
    <col min="2" max="2" width="14" customWidth="1"/>
    <col min="3" max="3" width="16" customWidth="1"/>
    <col min="4" max="4" width="8" customWidth="1"/>
    <col min="5" max="6" width="12" customWidth="1"/>
    <col min="7" max="7" width="20" customWidth="1"/>
    <col min="8" max="8" width="18" customWidth="1"/>
  </cols>
  <sheetData>
    <row r="1" spans="1:8" x14ac:dyDescent="0.35">
      <c r="A1" s="1" t="s">
        <v>25</v>
      </c>
      <c r="B1" s="1" t="s">
        <v>14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35">
      <c r="A2" t="str">
        <f>IF(INDEX(Question_Map!$C$2:$C$100,1)="Scale",INDEX(Question_Map!$A$2:$A$100,1),"")</f>
        <v>I could complete the key tasks without help.</v>
      </c>
      <c r="B2" t="str">
        <f>IF($A2&lt;&gt;"",INDEX(Question_Map!$B$2:$B$100,1),"")</f>
        <v>NonTech</v>
      </c>
      <c r="C2" t="str">
        <f>IF($A2&lt;&gt;"",INDEX(Question_Map!$F$2:$F$100,1),"")</f>
        <v>Usability</v>
      </c>
      <c r="D2">
        <f>IF($A2="","",COUNT(IFERROR(--INDEX(Raw_Responses!$1:$1048576,0,MATCH($A2,Raw_Responses!$1:$1,0)),"")))</f>
        <v>1</v>
      </c>
      <c r="E2">
        <f>IF($A2="","",AVERAGE(IFERROR(--INDEX(Raw_Responses!$1:$1048576,0,MATCH($A2,Raw_Responses!$1:$1,0)),"")))</f>
        <v>0</v>
      </c>
      <c r="F2">
        <f>IF($A2="","",MEDIAN(IFERROR(--INDEX(Raw_Responses!$1:$1048576,0,MATCH($A2,Raw_Responses!$1:$1,0)),"")))</f>
        <v>0</v>
      </c>
      <c r="G2">
        <f>IF($A2="","",IF($H2="","",SUMPRODUCT(--(INDEX(Raw_Responses!$1:$1048576,0,MATCH($A2,Raw_Responses!$1:$1,0))&gt;=$H2))/COUNT(IFERROR(--INDEX(Raw_Responses!$1:$1048576,0,MATCH($A2,Raw_Responses!$1:$1,0)),""))))</f>
        <v>1</v>
      </c>
      <c r="H2">
        <f>IF($A2="","",IF(INDEX(Question_Map!$E$2:$E$100,1)=10,8,IF(INDEX(Question_Map!$E$2:$E$100,1)=5,4,INDEX(Question_Map!$E$2:$E$100,1))))</f>
        <v>8</v>
      </c>
    </row>
    <row r="3" spans="1:8" x14ac:dyDescent="0.35">
      <c r="A3" t="str">
        <f>IF(INDEX(Question_Map!$C$2:$C$100,2)="Scale",INDEX(Question_Map!$A$2:$A$100,2),"")</f>
        <v>Labels and buttons were clear.</v>
      </c>
      <c r="B3" t="str">
        <f>IF($A3&lt;&gt;"",INDEX(Question_Map!$B$2:$B$100,2),"")</f>
        <v>NonTech</v>
      </c>
      <c r="C3" t="str">
        <f>IF($A3&lt;&gt;"",INDEX(Question_Map!$F$2:$F$100,2),"")</f>
        <v>Navigation</v>
      </c>
      <c r="D3">
        <f>IF($A3="","",COUNT(IFERROR(--INDEX(Raw_Responses!$1:$1048576,0,MATCH($A3,Raw_Responses!$1:$1,0)),"")))</f>
        <v>1</v>
      </c>
      <c r="E3">
        <f>IF($A3="","",AVERAGE(IFERROR(--INDEX(Raw_Responses!$1:$1048576,0,MATCH($A3,Raw_Responses!$1:$1,0)),"")))</f>
        <v>0</v>
      </c>
      <c r="F3">
        <f>IF($A3="","",MEDIAN(IFERROR(--INDEX(Raw_Responses!$1:$1048576,0,MATCH($A3,Raw_Responses!$1:$1,0)),"")))</f>
        <v>0</v>
      </c>
      <c r="G3">
        <f>IF($A3="","",IF($H3="","",SUMPRODUCT(--(INDEX(Raw_Responses!$1:$1048576,0,MATCH($A3,Raw_Responses!$1:$1,0))&gt;=$H3))/COUNT(IFERROR(--INDEX(Raw_Responses!$1:$1048576,0,MATCH($A3,Raw_Responses!$1:$1,0)),""))))</f>
        <v>1</v>
      </c>
      <c r="H3">
        <f>IF($A3="","",IF(INDEX(Question_Map!$E$2:$E$100,2)=10,8,IF(INDEX(Question_Map!$E$2:$E$100,2)=5,4,INDEX(Question_Map!$E$2:$E$100,2))))</f>
        <v>8</v>
      </c>
    </row>
    <row r="4" spans="1:8" x14ac:dyDescent="0.35">
      <c r="A4" t="str">
        <f>IF(INDEX(Question_Map!$C$2:$C$100,3)="Scale",INDEX(Question_Map!$A$2:$A$100,3),"")</f>
        <v>The layout was easy to navigate.</v>
      </c>
      <c r="B4" t="str">
        <f>IF($A4&lt;&gt;"",INDEX(Question_Map!$B$2:$B$100,3),"")</f>
        <v>NonTech</v>
      </c>
      <c r="C4" t="str">
        <f>IF($A4&lt;&gt;"",INDEX(Question_Map!$F$2:$F$100,3),"")</f>
        <v>Navigation</v>
      </c>
      <c r="D4">
        <f>IF($A4="","",COUNT(IFERROR(--INDEX(Raw_Responses!$1:$1048576,0,MATCH($A4,Raw_Responses!$1:$1,0)),"")))</f>
        <v>1</v>
      </c>
      <c r="E4">
        <f>IF($A4="","",AVERAGE(IFERROR(--INDEX(Raw_Responses!$1:$1048576,0,MATCH($A4,Raw_Responses!$1:$1,0)),"")))</f>
        <v>0</v>
      </c>
      <c r="F4">
        <f>IF($A4="","",MEDIAN(IFERROR(--INDEX(Raw_Responses!$1:$1048576,0,MATCH($A4,Raw_Responses!$1:$1,0)),"")))</f>
        <v>0</v>
      </c>
      <c r="G4">
        <f>IF($A4="","",IF($H4="","",SUMPRODUCT(--(INDEX(Raw_Responses!$1:$1048576,0,MATCH($A4,Raw_Responses!$1:$1,0))&gt;=$H4))/COUNT(IFERROR(--INDEX(Raw_Responses!$1:$1048576,0,MATCH($A4,Raw_Responses!$1:$1,0)),""))))</f>
        <v>1</v>
      </c>
      <c r="H4">
        <f>IF($A4="","",IF(INDEX(Question_Map!$E$2:$E$100,3)=10,8,IF(INDEX(Question_Map!$E$2:$E$100,3)=5,4,INDEX(Question_Map!$E$2:$E$100,3))))</f>
        <v>8</v>
      </c>
    </row>
    <row r="5" spans="1:8" x14ac:dyDescent="0.35">
      <c r="A5" t="str">
        <f>IF(INDEX(Question_Map!$C$2:$C$100,4)="Scale",INDEX(Question_Map!$A$2:$A$100,4),"")</f>
        <v>Pages loaded fast enough.</v>
      </c>
      <c r="B5" t="str">
        <f>IF($A5&lt;&gt;"",INDEX(Question_Map!$B$2:$B$100,4),"")</f>
        <v>NonTech</v>
      </c>
      <c r="C5" t="str">
        <f>IF($A5&lt;&gt;"",INDEX(Question_Map!$F$2:$F$100,4),"")</f>
        <v>Performance</v>
      </c>
      <c r="D5">
        <f>IF($A5="","",COUNT(IFERROR(--INDEX(Raw_Responses!$1:$1048576,0,MATCH($A5,Raw_Responses!$1:$1,0)),"")))</f>
        <v>1</v>
      </c>
      <c r="E5">
        <f>IF($A5="","",AVERAGE(IFERROR(--INDEX(Raw_Responses!$1:$1048576,0,MATCH($A5,Raw_Responses!$1:$1,0)),"")))</f>
        <v>0</v>
      </c>
      <c r="F5">
        <f>IF($A5="","",MEDIAN(IFERROR(--INDEX(Raw_Responses!$1:$1048576,0,MATCH($A5,Raw_Responses!$1:$1,0)),"")))</f>
        <v>0</v>
      </c>
      <c r="G5">
        <f>IF($A5="","",IF($H5="","",SUMPRODUCT(--(INDEX(Raw_Responses!$1:$1048576,0,MATCH($A5,Raw_Responses!$1:$1,0))&gt;=$H5))/COUNT(IFERROR(--INDEX(Raw_Responses!$1:$1048576,0,MATCH($A5,Raw_Responses!$1:$1,0)),""))))</f>
        <v>1</v>
      </c>
      <c r="H5">
        <f>IF($A5="","",IF(INDEX(Question_Map!$E$2:$E$100,4)=10,8,IF(INDEX(Question_Map!$E$2:$E$100,4)=5,4,INDEX(Question_Map!$E$2:$E$100,4))))</f>
        <v>8</v>
      </c>
    </row>
    <row r="6" spans="1:8" x14ac:dyDescent="0.35">
      <c r="A6" t="str">
        <f>IF(INDEX(Question_Map!$C$2:$C$100,5)="Scale",INDEX(Question_Map!$A$2:$A$100,5),"")</f>
        <v>It worked comfortably on my phone/tablet.</v>
      </c>
      <c r="B6" t="str">
        <f>IF($A6&lt;&gt;"",INDEX(Question_Map!$B$2:$B$100,5),"")</f>
        <v>NonTech</v>
      </c>
      <c r="C6" t="str">
        <f>IF($A6&lt;&gt;"",INDEX(Question_Map!$F$2:$F$100,5),"")</f>
        <v>Accessibility</v>
      </c>
      <c r="D6">
        <f>IF($A6="","",COUNT(IFERROR(--INDEX(Raw_Responses!$1:$1048576,0,MATCH($A6,Raw_Responses!$1:$1,0)),"")))</f>
        <v>1</v>
      </c>
      <c r="E6">
        <f>IF($A6="","",AVERAGE(IFERROR(--INDEX(Raw_Responses!$1:$1048576,0,MATCH($A6,Raw_Responses!$1:$1,0)),"")))</f>
        <v>0</v>
      </c>
      <c r="F6">
        <f>IF($A6="","",MEDIAN(IFERROR(--INDEX(Raw_Responses!$1:$1048576,0,MATCH($A6,Raw_Responses!$1:$1,0)),"")))</f>
        <v>0</v>
      </c>
      <c r="G6">
        <f>IF($A6="","",IF($H6="","",SUMPRODUCT(--(INDEX(Raw_Responses!$1:$1048576,0,MATCH($A6,Raw_Responses!$1:$1,0))&gt;=$H6))/COUNT(IFERROR(--INDEX(Raw_Responses!$1:$1048576,0,MATCH($A6,Raw_Responses!$1:$1,0)),""))))</f>
        <v>1</v>
      </c>
      <c r="H6">
        <f>IF($A6="","",IF(INDEX(Question_Map!$E$2:$E$100,5)=10,8,IF(INDEX(Question_Map!$E$2:$E$100,5)=5,4,INDEX(Question_Map!$E$2:$E$100,5))))</f>
        <v>8</v>
      </c>
    </row>
    <row r="7" spans="1:8" x14ac:dyDescent="0.35">
      <c r="A7" t="str">
        <f>IF(INDEX(Question_Map!$C$2:$C$100,6)="Scale",INDEX(Question_Map!$A$2:$A$100,6),"")</f>
        <v>Overall, it meets my needs.</v>
      </c>
      <c r="B7" t="str">
        <f>IF($A7&lt;&gt;"",INDEX(Question_Map!$B$2:$B$100,6),"")</f>
        <v>NonTech</v>
      </c>
      <c r="C7" t="str">
        <f>IF($A7&lt;&gt;"",INDEX(Question_Map!$F$2:$F$100,6),"")</f>
        <v>Satisfaction</v>
      </c>
      <c r="D7">
        <f>IF($A7="","",COUNT(IFERROR(--INDEX(Raw_Responses!$1:$1048576,0,MATCH($A7,Raw_Responses!$1:$1,0)),"")))</f>
        <v>1</v>
      </c>
      <c r="E7">
        <f>IF($A7="","",AVERAGE(IFERROR(--INDEX(Raw_Responses!$1:$1048576,0,MATCH($A7,Raw_Responses!$1:$1,0)),"")))</f>
        <v>0</v>
      </c>
      <c r="F7">
        <f>IF($A7="","",MEDIAN(IFERROR(--INDEX(Raw_Responses!$1:$1048576,0,MATCH($A7,Raw_Responses!$1:$1,0)),"")))</f>
        <v>0</v>
      </c>
      <c r="G7">
        <f>IF($A7="","",IF($H7="","",SUMPRODUCT(--(INDEX(Raw_Responses!$1:$1048576,0,MATCH($A7,Raw_Responses!$1:$1,0))&gt;=$H7))/COUNT(IFERROR(--INDEX(Raw_Responses!$1:$1048576,0,MATCH($A7,Raw_Responses!$1:$1,0)),""))))</f>
        <v>1</v>
      </c>
      <c r="H7">
        <f>IF($A7="","",IF(INDEX(Question_Map!$E$2:$E$100,6)=10,8,IF(INDEX(Question_Map!$E$2:$E$100,6)=5,4,INDEX(Question_Map!$E$2:$E$100,6))))</f>
        <v>8</v>
      </c>
    </row>
    <row r="8" spans="1:8" x14ac:dyDescent="0.35">
      <c r="A8" t="str">
        <f>IF(INDEX(Question_Map!$C$2:$C$100,7)="Scale",INDEX(Question_Map!$A$2:$A$100,7),"")</f>
        <v/>
      </c>
      <c r="B8" t="str">
        <f>IF($A8&lt;&gt;"",INDEX(Question_Map!$B$2:$B$100,7),"")</f>
        <v/>
      </c>
      <c r="C8" t="str">
        <f>IF($A8&lt;&gt;"",INDEX(Question_Map!$F$2:$F$100,7),"")</f>
        <v/>
      </c>
      <c r="D8" t="str">
        <f>IF($A8="","",COUNT(IFERROR(--INDEX(Raw_Responses!$1:$1048576,0,MATCH($A8,Raw_Responses!$1:$1,0)),"")))</f>
        <v/>
      </c>
      <c r="E8" t="str">
        <f>IF($A8="","",AVERAGE(IFERROR(--INDEX(Raw_Responses!$1:$1048576,0,MATCH($A8,Raw_Responses!$1:$1,0)),"")))</f>
        <v/>
      </c>
      <c r="F8" t="str">
        <f>IF($A8="","",MEDIAN(IFERROR(--INDEX(Raw_Responses!$1:$1048576,0,MATCH($A8,Raw_Responses!$1:$1,0)),"")))</f>
        <v/>
      </c>
      <c r="G8" t="str">
        <f>IF($A8="","",IF($H8="","",SUMPRODUCT(--(INDEX(Raw_Responses!$1:$1048576,0,MATCH($A8,Raw_Responses!$1:$1,0))&gt;=$H8))/COUNT(IFERROR(--INDEX(Raw_Responses!$1:$1048576,0,MATCH($A8,Raw_Responses!$1:$1,0)),""))))</f>
        <v/>
      </c>
      <c r="H8" t="str">
        <f>IF($A8="","",IF(INDEX(Question_Map!$E$2:$E$100,7)=10,8,IF(INDEX(Question_Map!$E$2:$E$100,7)=5,4,INDEX(Question_Map!$E$2:$E$100,7))))</f>
        <v/>
      </c>
    </row>
    <row r="9" spans="1:8" x14ac:dyDescent="0.35">
      <c r="A9" t="str">
        <f>IF(INDEX(Question_Map!$C$2:$C$100,8)="Scale",INDEX(Question_Map!$A$2:$A$100,8),"")</f>
        <v/>
      </c>
      <c r="B9" t="str">
        <f>IF($A9&lt;&gt;"",INDEX(Question_Map!$B$2:$B$100,8),"")</f>
        <v/>
      </c>
      <c r="C9" t="str">
        <f>IF($A9&lt;&gt;"",INDEX(Question_Map!$F$2:$F$100,8),"")</f>
        <v/>
      </c>
      <c r="D9" t="str">
        <f>IF($A9="","",COUNT(IFERROR(--INDEX(Raw_Responses!$1:$1048576,0,MATCH($A9,Raw_Responses!$1:$1,0)),"")))</f>
        <v/>
      </c>
      <c r="E9" t="str">
        <f>IF($A9="","",AVERAGE(IFERROR(--INDEX(Raw_Responses!$1:$1048576,0,MATCH($A9,Raw_Responses!$1:$1,0)),"")))</f>
        <v/>
      </c>
      <c r="F9" t="str">
        <f>IF($A9="","",MEDIAN(IFERROR(--INDEX(Raw_Responses!$1:$1048576,0,MATCH($A9,Raw_Responses!$1:$1,0)),"")))</f>
        <v/>
      </c>
      <c r="G9" t="str">
        <f>IF($A9="","",IF($H9="","",SUMPRODUCT(--(INDEX(Raw_Responses!$1:$1048576,0,MATCH($A9,Raw_Responses!$1:$1,0))&gt;=$H9))/COUNT(IFERROR(--INDEX(Raw_Responses!$1:$1048576,0,MATCH($A9,Raw_Responses!$1:$1,0)),""))))</f>
        <v/>
      </c>
      <c r="H9" t="str">
        <f>IF($A9="","",IF(INDEX(Question_Map!$E$2:$E$100,8)=10,8,IF(INDEX(Question_Map!$E$2:$E$100,8)=5,4,INDEX(Question_Map!$E$2:$E$100,8))))</f>
        <v/>
      </c>
    </row>
    <row r="10" spans="1:8" x14ac:dyDescent="0.35">
      <c r="A10" t="str">
        <f>IF(INDEX(Question_Map!$C$2:$C$100,9)="Scale",INDEX(Question_Map!$A$2:$A$100,9),"")</f>
        <v/>
      </c>
      <c r="B10" t="str">
        <f>IF($A10&lt;&gt;"",INDEX(Question_Map!$B$2:$B$100,9),"")</f>
        <v/>
      </c>
      <c r="C10" t="str">
        <f>IF($A10&lt;&gt;"",INDEX(Question_Map!$F$2:$F$100,9),"")</f>
        <v/>
      </c>
      <c r="D10" t="str">
        <f>IF($A10="","",COUNT(IFERROR(--INDEX(Raw_Responses!$1:$1048576,0,MATCH($A10,Raw_Responses!$1:$1,0)),"")))</f>
        <v/>
      </c>
      <c r="E10" t="str">
        <f>IF($A10="","",AVERAGE(IFERROR(--INDEX(Raw_Responses!$1:$1048576,0,MATCH($A10,Raw_Responses!$1:$1,0)),"")))</f>
        <v/>
      </c>
      <c r="F10" t="str">
        <f>IF($A10="","",MEDIAN(IFERROR(--INDEX(Raw_Responses!$1:$1048576,0,MATCH($A10,Raw_Responses!$1:$1,0)),"")))</f>
        <v/>
      </c>
      <c r="G10" t="str">
        <f>IF($A10="","",IF($H10="","",SUMPRODUCT(--(INDEX(Raw_Responses!$1:$1048576,0,MATCH($A10,Raw_Responses!$1:$1,0))&gt;=$H10))/COUNT(IFERROR(--INDEX(Raw_Responses!$1:$1048576,0,MATCH($A10,Raw_Responses!$1:$1,0)),""))))</f>
        <v/>
      </c>
      <c r="H10" t="str">
        <f>IF($A10="","",IF(INDEX(Question_Map!$E$2:$E$100,9)=10,8,IF(INDEX(Question_Map!$E$2:$E$100,9)=5,4,INDEX(Question_Map!$E$2:$E$100,9))))</f>
        <v/>
      </c>
    </row>
    <row r="11" spans="1:8" x14ac:dyDescent="0.35">
      <c r="A11" t="str">
        <f>IF(INDEX(Question_Map!$C$2:$C$100,10)="Scale",INDEX(Question_Map!$A$2:$A$100,10),"")</f>
        <v/>
      </c>
      <c r="B11" t="str">
        <f>IF($A11&lt;&gt;"",INDEX(Question_Map!$B$2:$B$100,10),"")</f>
        <v/>
      </c>
      <c r="C11" t="str">
        <f>IF($A11&lt;&gt;"",INDEX(Question_Map!$F$2:$F$100,10),"")</f>
        <v/>
      </c>
      <c r="D11" t="str">
        <f>IF($A11="","",COUNT(IFERROR(--INDEX(Raw_Responses!$1:$1048576,0,MATCH($A11,Raw_Responses!$1:$1,0)),"")))</f>
        <v/>
      </c>
      <c r="E11" t="str">
        <f>IF($A11="","",AVERAGE(IFERROR(--INDEX(Raw_Responses!$1:$1048576,0,MATCH($A11,Raw_Responses!$1:$1,0)),"")))</f>
        <v/>
      </c>
      <c r="F11" t="str">
        <f>IF($A11="","",MEDIAN(IFERROR(--INDEX(Raw_Responses!$1:$1048576,0,MATCH($A11,Raw_Responses!$1:$1,0)),"")))</f>
        <v/>
      </c>
      <c r="G11" t="str">
        <f>IF($A11="","",IF($H11="","",SUMPRODUCT(--(INDEX(Raw_Responses!$1:$1048576,0,MATCH($A11,Raw_Responses!$1:$1,0))&gt;=$H11))/COUNT(IFERROR(--INDEX(Raw_Responses!$1:$1048576,0,MATCH($A11,Raw_Responses!$1:$1,0)),""))))</f>
        <v/>
      </c>
      <c r="H11" t="str">
        <f>IF($A11="","",IF(INDEX(Question_Map!$E$2:$E$100,10)=10,8,IF(INDEX(Question_Map!$E$2:$E$100,10)=5,4,INDEX(Question_Map!$E$2:$E$100,10))))</f>
        <v/>
      </c>
    </row>
    <row r="12" spans="1:8" x14ac:dyDescent="0.35">
      <c r="A12" t="str">
        <f>IF(INDEX(Question_Map!$C$2:$C$100,11)="Scale",INDEX(Question_Map!$A$2:$A$100,11),"")</f>
        <v/>
      </c>
      <c r="B12" t="str">
        <f>IF($A12&lt;&gt;"",INDEX(Question_Map!$B$2:$B$100,11),"")</f>
        <v/>
      </c>
      <c r="C12" t="str">
        <f>IF($A12&lt;&gt;"",INDEX(Question_Map!$F$2:$F$100,11),"")</f>
        <v/>
      </c>
      <c r="D12" t="str">
        <f>IF($A12="","",COUNT(IFERROR(--INDEX(Raw_Responses!$1:$1048576,0,MATCH($A12,Raw_Responses!$1:$1,0)),"")))</f>
        <v/>
      </c>
      <c r="E12" t="str">
        <f>IF($A12="","",AVERAGE(IFERROR(--INDEX(Raw_Responses!$1:$1048576,0,MATCH($A12,Raw_Responses!$1:$1,0)),"")))</f>
        <v/>
      </c>
      <c r="F12" t="str">
        <f>IF($A12="","",MEDIAN(IFERROR(--INDEX(Raw_Responses!$1:$1048576,0,MATCH($A12,Raw_Responses!$1:$1,0)),"")))</f>
        <v/>
      </c>
      <c r="G12" t="str">
        <f>IF($A12="","",IF($H12="","",SUMPRODUCT(--(INDEX(Raw_Responses!$1:$1048576,0,MATCH($A12,Raw_Responses!$1:$1,0))&gt;=$H12))/COUNT(IFERROR(--INDEX(Raw_Responses!$1:$1048576,0,MATCH($A12,Raw_Responses!$1:$1,0)),""))))</f>
        <v/>
      </c>
      <c r="H12" t="str">
        <f>IF($A12="","",IF(INDEX(Question_Map!$E$2:$E$100,11)=10,8,IF(INDEX(Question_Map!$E$2:$E$100,11)=5,4,INDEX(Question_Map!$E$2:$E$100,11))))</f>
        <v/>
      </c>
    </row>
    <row r="13" spans="1:8" x14ac:dyDescent="0.35">
      <c r="A13" t="str">
        <f>IF(INDEX(Question_Map!$C$2:$C$100,12)="Scale",INDEX(Question_Map!$A$2:$A$100,12),"")</f>
        <v/>
      </c>
      <c r="B13" t="str">
        <f>IF($A13&lt;&gt;"",INDEX(Question_Map!$B$2:$B$100,12),"")</f>
        <v/>
      </c>
      <c r="C13" t="str">
        <f>IF($A13&lt;&gt;"",INDEX(Question_Map!$F$2:$F$100,12),"")</f>
        <v/>
      </c>
      <c r="D13" t="str">
        <f>IF($A13="","",COUNT(IFERROR(--INDEX(Raw_Responses!$1:$1048576,0,MATCH($A13,Raw_Responses!$1:$1,0)),"")))</f>
        <v/>
      </c>
      <c r="E13" t="str">
        <f>IF($A13="","",AVERAGE(IFERROR(--INDEX(Raw_Responses!$1:$1048576,0,MATCH($A13,Raw_Responses!$1:$1,0)),"")))</f>
        <v/>
      </c>
      <c r="F13" t="str">
        <f>IF($A13="","",MEDIAN(IFERROR(--INDEX(Raw_Responses!$1:$1048576,0,MATCH($A13,Raw_Responses!$1:$1,0)),"")))</f>
        <v/>
      </c>
      <c r="G13" t="str">
        <f>IF($A13="","",IF($H13="","",SUMPRODUCT(--(INDEX(Raw_Responses!$1:$1048576,0,MATCH($A13,Raw_Responses!$1:$1,0))&gt;=$H13))/COUNT(IFERROR(--INDEX(Raw_Responses!$1:$1048576,0,MATCH($A13,Raw_Responses!$1:$1,0)),""))))</f>
        <v/>
      </c>
      <c r="H13" t="str">
        <f>IF($A13="","",IF(INDEX(Question_Map!$E$2:$E$100,12)=10,8,IF(INDEX(Question_Map!$E$2:$E$100,12)=5,4,INDEX(Question_Map!$E$2:$E$100,12))))</f>
        <v/>
      </c>
    </row>
    <row r="14" spans="1:8" x14ac:dyDescent="0.35">
      <c r="A14" t="str">
        <f>IF(INDEX(Question_Map!$C$2:$C$100,13)="Scale",INDEX(Question_Map!$A$2:$A$100,13),"")</f>
        <v/>
      </c>
      <c r="B14" t="str">
        <f>IF($A14&lt;&gt;"",INDEX(Question_Map!$B$2:$B$100,13),"")</f>
        <v/>
      </c>
      <c r="C14" t="str">
        <f>IF($A14&lt;&gt;"",INDEX(Question_Map!$F$2:$F$100,13),"")</f>
        <v/>
      </c>
      <c r="D14" t="str">
        <f>IF($A14="","",COUNT(IFERROR(--INDEX(Raw_Responses!$1:$1048576,0,MATCH($A14,Raw_Responses!$1:$1,0)),"")))</f>
        <v/>
      </c>
      <c r="E14" t="str">
        <f>IF($A14="","",AVERAGE(IFERROR(--INDEX(Raw_Responses!$1:$1048576,0,MATCH($A14,Raw_Responses!$1:$1,0)),"")))</f>
        <v/>
      </c>
      <c r="F14" t="str">
        <f>IF($A14="","",MEDIAN(IFERROR(--INDEX(Raw_Responses!$1:$1048576,0,MATCH($A14,Raw_Responses!$1:$1,0)),"")))</f>
        <v/>
      </c>
      <c r="G14" t="str">
        <f>IF($A14="","",IF($H14="","",SUMPRODUCT(--(INDEX(Raw_Responses!$1:$1048576,0,MATCH($A14,Raw_Responses!$1:$1,0))&gt;=$H14))/COUNT(IFERROR(--INDEX(Raw_Responses!$1:$1048576,0,MATCH($A14,Raw_Responses!$1:$1,0)),""))))</f>
        <v/>
      </c>
      <c r="H14" t="str">
        <f>IF($A14="","",IF(INDEX(Question_Map!$E$2:$E$100,13)=10,8,IF(INDEX(Question_Map!$E$2:$E$100,13)=5,4,INDEX(Question_Map!$E$2:$E$100,13))))</f>
        <v/>
      </c>
    </row>
    <row r="15" spans="1:8" x14ac:dyDescent="0.35">
      <c r="A15" t="str">
        <f>IF(INDEX(Question_Map!$C$2:$C$100,14)="Scale",INDEX(Question_Map!$A$2:$A$100,14),"")</f>
        <v/>
      </c>
      <c r="B15" t="str">
        <f>IF($A15&lt;&gt;"",INDEX(Question_Map!$B$2:$B$100,14),"")</f>
        <v/>
      </c>
      <c r="C15" t="str">
        <f>IF($A15&lt;&gt;"",INDEX(Question_Map!$F$2:$F$100,14),"")</f>
        <v/>
      </c>
      <c r="D15" t="str">
        <f>IF($A15="","",COUNT(IFERROR(--INDEX(Raw_Responses!$1:$1048576,0,MATCH($A15,Raw_Responses!$1:$1,0)),"")))</f>
        <v/>
      </c>
      <c r="E15" t="str">
        <f>IF($A15="","",AVERAGE(IFERROR(--INDEX(Raw_Responses!$1:$1048576,0,MATCH($A15,Raw_Responses!$1:$1,0)),"")))</f>
        <v/>
      </c>
      <c r="F15" t="str">
        <f>IF($A15="","",MEDIAN(IFERROR(--INDEX(Raw_Responses!$1:$1048576,0,MATCH($A15,Raw_Responses!$1:$1,0)),"")))</f>
        <v/>
      </c>
      <c r="G15" t="str">
        <f>IF($A15="","",IF($H15="","",SUMPRODUCT(--(INDEX(Raw_Responses!$1:$1048576,0,MATCH($A15,Raw_Responses!$1:$1,0))&gt;=$H15))/COUNT(IFERROR(--INDEX(Raw_Responses!$1:$1048576,0,MATCH($A15,Raw_Responses!$1:$1,0)),""))))</f>
        <v/>
      </c>
      <c r="H15" t="str">
        <f>IF($A15="","",IF(INDEX(Question_Map!$E$2:$E$100,14)=10,8,IF(INDEX(Question_Map!$E$2:$E$100,14)=5,4,INDEX(Question_Map!$E$2:$E$100,14))))</f>
        <v/>
      </c>
    </row>
    <row r="16" spans="1:8" x14ac:dyDescent="0.35">
      <c r="A16" t="str">
        <f>IF(INDEX(Question_Map!$C$2:$C$100,15)="Scale",INDEX(Question_Map!$A$2:$A$100,15),"")</f>
        <v/>
      </c>
      <c r="B16" t="str">
        <f>IF($A16&lt;&gt;"",INDEX(Question_Map!$B$2:$B$100,15),"")</f>
        <v/>
      </c>
      <c r="C16" t="str">
        <f>IF($A16&lt;&gt;"",INDEX(Question_Map!$F$2:$F$100,15),"")</f>
        <v/>
      </c>
      <c r="D16" t="str">
        <f>IF($A16="","",COUNT(IFERROR(--INDEX(Raw_Responses!$1:$1048576,0,MATCH($A16,Raw_Responses!$1:$1,0)),"")))</f>
        <v/>
      </c>
      <c r="E16" t="str">
        <f>IF($A16="","",AVERAGE(IFERROR(--INDEX(Raw_Responses!$1:$1048576,0,MATCH($A16,Raw_Responses!$1:$1,0)),"")))</f>
        <v/>
      </c>
      <c r="F16" t="str">
        <f>IF($A16="","",MEDIAN(IFERROR(--INDEX(Raw_Responses!$1:$1048576,0,MATCH($A16,Raw_Responses!$1:$1,0)),"")))</f>
        <v/>
      </c>
      <c r="G16" t="str">
        <f>IF($A16="","",IF($H16="","",SUMPRODUCT(--(INDEX(Raw_Responses!$1:$1048576,0,MATCH($A16,Raw_Responses!$1:$1,0))&gt;=$H16))/COUNT(IFERROR(--INDEX(Raw_Responses!$1:$1048576,0,MATCH($A16,Raw_Responses!$1:$1,0)),""))))</f>
        <v/>
      </c>
      <c r="H16" t="str">
        <f>IF($A16="","",IF(INDEX(Question_Map!$E$2:$E$100,15)=10,8,IF(INDEX(Question_Map!$E$2:$E$100,15)=5,4,INDEX(Question_Map!$E$2:$E$100,15))))</f>
        <v/>
      </c>
    </row>
    <row r="17" spans="1:8" x14ac:dyDescent="0.35">
      <c r="A17" t="str">
        <f>IF(INDEX(Question_Map!$C$2:$C$100,16)="Scale",INDEX(Question_Map!$A$2:$A$100,16),"")</f>
        <v/>
      </c>
      <c r="B17" t="str">
        <f>IF($A17&lt;&gt;"",INDEX(Question_Map!$B$2:$B$100,16),"")</f>
        <v/>
      </c>
      <c r="C17" t="str">
        <f>IF($A17&lt;&gt;"",INDEX(Question_Map!$F$2:$F$100,16),"")</f>
        <v/>
      </c>
      <c r="D17" t="str">
        <f>IF($A17="","",COUNT(IFERROR(--INDEX(Raw_Responses!$1:$1048576,0,MATCH($A17,Raw_Responses!$1:$1,0)),"")))</f>
        <v/>
      </c>
      <c r="E17" t="str">
        <f>IF($A17="","",AVERAGE(IFERROR(--INDEX(Raw_Responses!$1:$1048576,0,MATCH($A17,Raw_Responses!$1:$1,0)),"")))</f>
        <v/>
      </c>
      <c r="F17" t="str">
        <f>IF($A17="","",MEDIAN(IFERROR(--INDEX(Raw_Responses!$1:$1048576,0,MATCH($A17,Raw_Responses!$1:$1,0)),"")))</f>
        <v/>
      </c>
      <c r="G17" t="str">
        <f>IF($A17="","",IF($H17="","",SUMPRODUCT(--(INDEX(Raw_Responses!$1:$1048576,0,MATCH($A17,Raw_Responses!$1:$1,0))&gt;=$H17))/COUNT(IFERROR(--INDEX(Raw_Responses!$1:$1048576,0,MATCH($A17,Raw_Responses!$1:$1,0)),""))))</f>
        <v/>
      </c>
      <c r="H17" t="str">
        <f>IF($A17="","",IF(INDEX(Question_Map!$E$2:$E$100,16)=10,8,IF(INDEX(Question_Map!$E$2:$E$100,16)=5,4,INDEX(Question_Map!$E$2:$E$100,16))))</f>
        <v/>
      </c>
    </row>
    <row r="18" spans="1:8" x14ac:dyDescent="0.35">
      <c r="A18" t="str">
        <f>IF(INDEX(Question_Map!$C$2:$C$100,17)="Scale",INDEX(Question_Map!$A$2:$A$100,17),"")</f>
        <v/>
      </c>
      <c r="B18" t="str">
        <f>IF($A18&lt;&gt;"",INDEX(Question_Map!$B$2:$B$100,17),"")</f>
        <v/>
      </c>
      <c r="C18" t="str">
        <f>IF($A18&lt;&gt;"",INDEX(Question_Map!$F$2:$F$100,17),"")</f>
        <v/>
      </c>
      <c r="D18" t="str">
        <f>IF($A18="","",COUNT(IFERROR(--INDEX(Raw_Responses!$1:$1048576,0,MATCH($A18,Raw_Responses!$1:$1,0)),"")))</f>
        <v/>
      </c>
      <c r="E18" t="str">
        <f>IF($A18="","",AVERAGE(IFERROR(--INDEX(Raw_Responses!$1:$1048576,0,MATCH($A18,Raw_Responses!$1:$1,0)),"")))</f>
        <v/>
      </c>
      <c r="F18" t="str">
        <f>IF($A18="","",MEDIAN(IFERROR(--INDEX(Raw_Responses!$1:$1048576,0,MATCH($A18,Raw_Responses!$1:$1,0)),"")))</f>
        <v/>
      </c>
      <c r="G18" t="str">
        <f>IF($A18="","",IF($H18="","",SUMPRODUCT(--(INDEX(Raw_Responses!$1:$1048576,0,MATCH($A18,Raw_Responses!$1:$1,0))&gt;=$H18))/COUNT(IFERROR(--INDEX(Raw_Responses!$1:$1048576,0,MATCH($A18,Raw_Responses!$1:$1,0)),""))))</f>
        <v/>
      </c>
      <c r="H18" t="str">
        <f>IF($A18="","",IF(INDEX(Question_Map!$E$2:$E$100,17)=10,8,IF(INDEX(Question_Map!$E$2:$E$100,17)=5,4,INDEX(Question_Map!$E$2:$E$100,17))))</f>
        <v/>
      </c>
    </row>
    <row r="19" spans="1:8" x14ac:dyDescent="0.35">
      <c r="A19" t="str">
        <f>IF(INDEX(Question_Map!$C$2:$C$100,18)="Scale",INDEX(Question_Map!$A$2:$A$100,18),"")</f>
        <v/>
      </c>
      <c r="B19" t="str">
        <f>IF($A19&lt;&gt;"",INDEX(Question_Map!$B$2:$B$100,18),"")</f>
        <v/>
      </c>
      <c r="C19" t="str">
        <f>IF($A19&lt;&gt;"",INDEX(Question_Map!$F$2:$F$100,18),"")</f>
        <v/>
      </c>
      <c r="D19" t="str">
        <f>IF($A19="","",COUNT(IFERROR(--INDEX(Raw_Responses!$1:$1048576,0,MATCH($A19,Raw_Responses!$1:$1,0)),"")))</f>
        <v/>
      </c>
      <c r="E19" t="str">
        <f>IF($A19="","",AVERAGE(IFERROR(--INDEX(Raw_Responses!$1:$1048576,0,MATCH($A19,Raw_Responses!$1:$1,0)),"")))</f>
        <v/>
      </c>
      <c r="F19" t="str">
        <f>IF($A19="","",MEDIAN(IFERROR(--INDEX(Raw_Responses!$1:$1048576,0,MATCH($A19,Raw_Responses!$1:$1,0)),"")))</f>
        <v/>
      </c>
      <c r="G19" t="str">
        <f>IF($A19="","",IF($H19="","",SUMPRODUCT(--(INDEX(Raw_Responses!$1:$1048576,0,MATCH($A19,Raw_Responses!$1:$1,0))&gt;=$H19))/COUNT(IFERROR(--INDEX(Raw_Responses!$1:$1048576,0,MATCH($A19,Raw_Responses!$1:$1,0)),""))))</f>
        <v/>
      </c>
      <c r="H19" t="str">
        <f>IF($A19="","",IF(INDEX(Question_Map!$E$2:$E$100,18)=10,8,IF(INDEX(Question_Map!$E$2:$E$100,18)=5,4,INDEX(Question_Map!$E$2:$E$100,18))))</f>
        <v/>
      </c>
    </row>
    <row r="20" spans="1:8" x14ac:dyDescent="0.35">
      <c r="A20" t="str">
        <f>IF(INDEX(Question_Map!$C$2:$C$100,19)="Scale",INDEX(Question_Map!$A$2:$A$100,19),"")</f>
        <v/>
      </c>
      <c r="B20" t="str">
        <f>IF($A20&lt;&gt;"",INDEX(Question_Map!$B$2:$B$100,19),"")</f>
        <v/>
      </c>
      <c r="C20" t="str">
        <f>IF($A20&lt;&gt;"",INDEX(Question_Map!$F$2:$F$100,19),"")</f>
        <v/>
      </c>
      <c r="D20" t="str">
        <f>IF($A20="","",COUNT(IFERROR(--INDEX(Raw_Responses!$1:$1048576,0,MATCH($A20,Raw_Responses!$1:$1,0)),"")))</f>
        <v/>
      </c>
      <c r="E20" t="str">
        <f>IF($A20="","",AVERAGE(IFERROR(--INDEX(Raw_Responses!$1:$1048576,0,MATCH($A20,Raw_Responses!$1:$1,0)),"")))</f>
        <v/>
      </c>
      <c r="F20" t="str">
        <f>IF($A20="","",MEDIAN(IFERROR(--INDEX(Raw_Responses!$1:$1048576,0,MATCH($A20,Raw_Responses!$1:$1,0)),"")))</f>
        <v/>
      </c>
      <c r="G20" t="str">
        <f>IF($A20="","",IF($H20="","",SUMPRODUCT(--(INDEX(Raw_Responses!$1:$1048576,0,MATCH($A20,Raw_Responses!$1:$1,0))&gt;=$H20))/COUNT(IFERROR(--INDEX(Raw_Responses!$1:$1048576,0,MATCH($A20,Raw_Responses!$1:$1,0)),""))))</f>
        <v/>
      </c>
      <c r="H20" t="str">
        <f>IF($A20="","",IF(INDEX(Question_Map!$E$2:$E$100,19)=10,8,IF(INDEX(Question_Map!$E$2:$E$100,19)=5,4,INDEX(Question_Map!$E$2:$E$100,19))))</f>
        <v/>
      </c>
    </row>
    <row r="21" spans="1:8" x14ac:dyDescent="0.35">
      <c r="A21" t="str">
        <f>IF(INDEX(Question_Map!$C$2:$C$100,20)="Scale",INDEX(Question_Map!$A$2:$A$100,20),"")</f>
        <v/>
      </c>
      <c r="B21" t="str">
        <f>IF($A21&lt;&gt;"",INDEX(Question_Map!$B$2:$B$100,20),"")</f>
        <v/>
      </c>
      <c r="C21" t="str">
        <f>IF($A21&lt;&gt;"",INDEX(Question_Map!$F$2:$F$100,20),"")</f>
        <v/>
      </c>
      <c r="D21" t="str">
        <f>IF($A21="","",COUNT(IFERROR(--INDEX(Raw_Responses!$1:$1048576,0,MATCH($A21,Raw_Responses!$1:$1,0)),"")))</f>
        <v/>
      </c>
      <c r="E21" t="str">
        <f>IF($A21="","",AVERAGE(IFERROR(--INDEX(Raw_Responses!$1:$1048576,0,MATCH($A21,Raw_Responses!$1:$1,0)),"")))</f>
        <v/>
      </c>
      <c r="F21" t="str">
        <f>IF($A21="","",MEDIAN(IFERROR(--INDEX(Raw_Responses!$1:$1048576,0,MATCH($A21,Raw_Responses!$1:$1,0)),"")))</f>
        <v/>
      </c>
      <c r="G21" t="str">
        <f>IF($A21="","",IF($H21="","",SUMPRODUCT(--(INDEX(Raw_Responses!$1:$1048576,0,MATCH($A21,Raw_Responses!$1:$1,0))&gt;=$H21))/COUNT(IFERROR(--INDEX(Raw_Responses!$1:$1048576,0,MATCH($A21,Raw_Responses!$1:$1,0)),""))))</f>
        <v/>
      </c>
      <c r="H21" t="str">
        <f>IF($A21="","",IF(INDEX(Question_Map!$E$2:$E$100,20)=10,8,IF(INDEX(Question_Map!$E$2:$E$100,20)=5,4,INDEX(Question_Map!$E$2:$E$100,20))))</f>
        <v/>
      </c>
    </row>
    <row r="22" spans="1:8" x14ac:dyDescent="0.35">
      <c r="A22" t="str">
        <f>IF(INDEX(Question_Map!$C$2:$C$100,21)="Scale",INDEX(Question_Map!$A$2:$A$100,21),"")</f>
        <v/>
      </c>
      <c r="B22" t="str">
        <f>IF($A22&lt;&gt;"",INDEX(Question_Map!$B$2:$B$100,21),"")</f>
        <v/>
      </c>
      <c r="C22" t="str">
        <f>IF($A22&lt;&gt;"",INDEX(Question_Map!$F$2:$F$100,21),"")</f>
        <v/>
      </c>
      <c r="D22" t="str">
        <f>IF($A22="","",COUNT(IFERROR(--INDEX(Raw_Responses!$1:$1048576,0,MATCH($A22,Raw_Responses!$1:$1,0)),"")))</f>
        <v/>
      </c>
      <c r="E22" t="str">
        <f>IF($A22="","",AVERAGE(IFERROR(--INDEX(Raw_Responses!$1:$1048576,0,MATCH($A22,Raw_Responses!$1:$1,0)),"")))</f>
        <v/>
      </c>
      <c r="F22" t="str">
        <f>IF($A22="","",MEDIAN(IFERROR(--INDEX(Raw_Responses!$1:$1048576,0,MATCH($A22,Raw_Responses!$1:$1,0)),"")))</f>
        <v/>
      </c>
      <c r="G22" t="str">
        <f>IF($A22="","",IF($H22="","",SUMPRODUCT(--(INDEX(Raw_Responses!$1:$1048576,0,MATCH($A22,Raw_Responses!$1:$1,0))&gt;=$H22))/COUNT(IFERROR(--INDEX(Raw_Responses!$1:$1048576,0,MATCH($A22,Raw_Responses!$1:$1,0)),""))))</f>
        <v/>
      </c>
      <c r="H22" t="str">
        <f>IF($A22="","",IF(INDEX(Question_Map!$E$2:$E$100,21)=10,8,IF(INDEX(Question_Map!$E$2:$E$100,21)=5,4,INDEX(Question_Map!$E$2:$E$100,21))))</f>
        <v/>
      </c>
    </row>
    <row r="23" spans="1:8" x14ac:dyDescent="0.35">
      <c r="A23" t="str">
        <f>IF(INDEX(Question_Map!$C$2:$C$100,22)="Scale",INDEX(Question_Map!$A$2:$A$100,22),"")</f>
        <v/>
      </c>
      <c r="B23" t="str">
        <f>IF($A23&lt;&gt;"",INDEX(Question_Map!$B$2:$B$100,22),"")</f>
        <v/>
      </c>
      <c r="C23" t="str">
        <f>IF($A23&lt;&gt;"",INDEX(Question_Map!$F$2:$F$100,22),"")</f>
        <v/>
      </c>
      <c r="D23" t="str">
        <f>IF($A23="","",COUNT(IFERROR(--INDEX(Raw_Responses!$1:$1048576,0,MATCH($A23,Raw_Responses!$1:$1,0)),"")))</f>
        <v/>
      </c>
      <c r="E23" t="str">
        <f>IF($A23="","",AVERAGE(IFERROR(--INDEX(Raw_Responses!$1:$1048576,0,MATCH($A23,Raw_Responses!$1:$1,0)),"")))</f>
        <v/>
      </c>
      <c r="F23" t="str">
        <f>IF($A23="","",MEDIAN(IFERROR(--INDEX(Raw_Responses!$1:$1048576,0,MATCH($A23,Raw_Responses!$1:$1,0)),"")))</f>
        <v/>
      </c>
      <c r="G23" t="str">
        <f>IF($A23="","",IF($H23="","",SUMPRODUCT(--(INDEX(Raw_Responses!$1:$1048576,0,MATCH($A23,Raw_Responses!$1:$1,0))&gt;=$H23))/COUNT(IFERROR(--INDEX(Raw_Responses!$1:$1048576,0,MATCH($A23,Raw_Responses!$1:$1,0)),""))))</f>
        <v/>
      </c>
      <c r="H23" t="str">
        <f>IF($A23="","",IF(INDEX(Question_Map!$E$2:$E$100,22)=10,8,IF(INDEX(Question_Map!$E$2:$E$100,22)=5,4,INDEX(Question_Map!$E$2:$E$100,22))))</f>
        <v/>
      </c>
    </row>
    <row r="24" spans="1:8" x14ac:dyDescent="0.35">
      <c r="A24" t="str">
        <f>IF(INDEX(Question_Map!$C$2:$C$100,23)="Scale",INDEX(Question_Map!$A$2:$A$100,23),"")</f>
        <v/>
      </c>
      <c r="B24" t="str">
        <f>IF($A24&lt;&gt;"",INDEX(Question_Map!$B$2:$B$100,23),"")</f>
        <v/>
      </c>
      <c r="C24" t="str">
        <f>IF($A24&lt;&gt;"",INDEX(Question_Map!$F$2:$F$100,23),"")</f>
        <v/>
      </c>
      <c r="D24" t="str">
        <f>IF($A24="","",COUNT(IFERROR(--INDEX(Raw_Responses!$1:$1048576,0,MATCH($A24,Raw_Responses!$1:$1,0)),"")))</f>
        <v/>
      </c>
      <c r="E24" t="str">
        <f>IF($A24="","",AVERAGE(IFERROR(--INDEX(Raw_Responses!$1:$1048576,0,MATCH($A24,Raw_Responses!$1:$1,0)),"")))</f>
        <v/>
      </c>
      <c r="F24" t="str">
        <f>IF($A24="","",MEDIAN(IFERROR(--INDEX(Raw_Responses!$1:$1048576,0,MATCH($A24,Raw_Responses!$1:$1,0)),"")))</f>
        <v/>
      </c>
      <c r="G24" t="str">
        <f>IF($A24="","",IF($H24="","",SUMPRODUCT(--(INDEX(Raw_Responses!$1:$1048576,0,MATCH($A24,Raw_Responses!$1:$1,0))&gt;=$H24))/COUNT(IFERROR(--INDEX(Raw_Responses!$1:$1048576,0,MATCH($A24,Raw_Responses!$1:$1,0)),""))))</f>
        <v/>
      </c>
      <c r="H24" t="str">
        <f>IF($A24="","",IF(INDEX(Question_Map!$E$2:$E$100,23)=10,8,IF(INDEX(Question_Map!$E$2:$E$100,23)=5,4,INDEX(Question_Map!$E$2:$E$100,23))))</f>
        <v/>
      </c>
    </row>
    <row r="25" spans="1:8" x14ac:dyDescent="0.35">
      <c r="A25" t="str">
        <f>IF(INDEX(Question_Map!$C$2:$C$100,24)="Scale",INDEX(Question_Map!$A$2:$A$100,24),"")</f>
        <v/>
      </c>
      <c r="B25" t="str">
        <f>IF($A25&lt;&gt;"",INDEX(Question_Map!$B$2:$B$100,24),"")</f>
        <v/>
      </c>
      <c r="C25" t="str">
        <f>IF($A25&lt;&gt;"",INDEX(Question_Map!$F$2:$F$100,24),"")</f>
        <v/>
      </c>
      <c r="D25" t="str">
        <f>IF($A25="","",COUNT(IFERROR(--INDEX(Raw_Responses!$1:$1048576,0,MATCH($A25,Raw_Responses!$1:$1,0)),"")))</f>
        <v/>
      </c>
      <c r="E25" t="str">
        <f>IF($A25="","",AVERAGE(IFERROR(--INDEX(Raw_Responses!$1:$1048576,0,MATCH($A25,Raw_Responses!$1:$1,0)),"")))</f>
        <v/>
      </c>
      <c r="F25" t="str">
        <f>IF($A25="","",MEDIAN(IFERROR(--INDEX(Raw_Responses!$1:$1048576,0,MATCH($A25,Raw_Responses!$1:$1,0)),"")))</f>
        <v/>
      </c>
      <c r="G25" t="str">
        <f>IF($A25="","",IF($H25="","",SUMPRODUCT(--(INDEX(Raw_Responses!$1:$1048576,0,MATCH($A25,Raw_Responses!$1:$1,0))&gt;=$H25))/COUNT(IFERROR(--INDEX(Raw_Responses!$1:$1048576,0,MATCH($A25,Raw_Responses!$1:$1,0)),""))))</f>
        <v/>
      </c>
      <c r="H25" t="str">
        <f>IF($A25="","",IF(INDEX(Question_Map!$E$2:$E$100,24)=10,8,IF(INDEX(Question_Map!$E$2:$E$100,24)=5,4,INDEX(Question_Map!$E$2:$E$100,24))))</f>
        <v/>
      </c>
    </row>
    <row r="26" spans="1:8" x14ac:dyDescent="0.35">
      <c r="A26" t="str">
        <f>IF(INDEX(Question_Map!$C$2:$C$100,25)="Scale",INDEX(Question_Map!$A$2:$A$100,25),"")</f>
        <v/>
      </c>
      <c r="B26" t="str">
        <f>IF($A26&lt;&gt;"",INDEX(Question_Map!$B$2:$B$100,25),"")</f>
        <v/>
      </c>
      <c r="C26" t="str">
        <f>IF($A26&lt;&gt;"",INDEX(Question_Map!$F$2:$F$100,25),"")</f>
        <v/>
      </c>
      <c r="D26" t="str">
        <f>IF($A26="","",COUNT(IFERROR(--INDEX(Raw_Responses!$1:$1048576,0,MATCH($A26,Raw_Responses!$1:$1,0)),"")))</f>
        <v/>
      </c>
      <c r="E26" t="str">
        <f>IF($A26="","",AVERAGE(IFERROR(--INDEX(Raw_Responses!$1:$1048576,0,MATCH($A26,Raw_Responses!$1:$1,0)),"")))</f>
        <v/>
      </c>
      <c r="F26" t="str">
        <f>IF($A26="","",MEDIAN(IFERROR(--INDEX(Raw_Responses!$1:$1048576,0,MATCH($A26,Raw_Responses!$1:$1,0)),"")))</f>
        <v/>
      </c>
      <c r="G26" t="str">
        <f>IF($A26="","",IF($H26="","",SUMPRODUCT(--(INDEX(Raw_Responses!$1:$1048576,0,MATCH($A26,Raw_Responses!$1:$1,0))&gt;=$H26))/COUNT(IFERROR(--INDEX(Raw_Responses!$1:$1048576,0,MATCH($A26,Raw_Responses!$1:$1,0)),""))))</f>
        <v/>
      </c>
      <c r="H26" t="str">
        <f>IF($A26="","",IF(INDEX(Question_Map!$E$2:$E$100,25)=10,8,IF(INDEX(Question_Map!$E$2:$E$100,25)=5,4,INDEX(Question_Map!$E$2:$E$100,25))))</f>
        <v/>
      </c>
    </row>
    <row r="27" spans="1:8" x14ac:dyDescent="0.35">
      <c r="A27" t="str">
        <f>IF(INDEX(Question_Map!$C$2:$C$100,26)="Scale",INDEX(Question_Map!$A$2:$A$100,26),"")</f>
        <v/>
      </c>
      <c r="B27" t="str">
        <f>IF($A27&lt;&gt;"",INDEX(Question_Map!$B$2:$B$100,26),"")</f>
        <v/>
      </c>
      <c r="C27" t="str">
        <f>IF($A27&lt;&gt;"",INDEX(Question_Map!$F$2:$F$100,26),"")</f>
        <v/>
      </c>
      <c r="D27" t="str">
        <f>IF($A27="","",COUNT(IFERROR(--INDEX(Raw_Responses!$1:$1048576,0,MATCH($A27,Raw_Responses!$1:$1,0)),"")))</f>
        <v/>
      </c>
      <c r="E27" t="str">
        <f>IF($A27="","",AVERAGE(IFERROR(--INDEX(Raw_Responses!$1:$1048576,0,MATCH($A27,Raw_Responses!$1:$1,0)),"")))</f>
        <v/>
      </c>
      <c r="F27" t="str">
        <f>IF($A27="","",MEDIAN(IFERROR(--INDEX(Raw_Responses!$1:$1048576,0,MATCH($A27,Raw_Responses!$1:$1,0)),"")))</f>
        <v/>
      </c>
      <c r="G27" t="str">
        <f>IF($A27="","",IF($H27="","",SUMPRODUCT(--(INDEX(Raw_Responses!$1:$1048576,0,MATCH($A27,Raw_Responses!$1:$1,0))&gt;=$H27))/COUNT(IFERROR(--INDEX(Raw_Responses!$1:$1048576,0,MATCH($A27,Raw_Responses!$1:$1,0)),""))))</f>
        <v/>
      </c>
      <c r="H27" t="str">
        <f>IF($A27="","",IF(INDEX(Question_Map!$E$2:$E$100,26)=10,8,IF(INDEX(Question_Map!$E$2:$E$100,26)=5,4,INDEX(Question_Map!$E$2:$E$100,26))))</f>
        <v/>
      </c>
    </row>
    <row r="28" spans="1:8" x14ac:dyDescent="0.35">
      <c r="A28" t="str">
        <f>IF(INDEX(Question_Map!$C$2:$C$100,27)="Scale",INDEX(Question_Map!$A$2:$A$100,27),"")</f>
        <v/>
      </c>
      <c r="B28" t="str">
        <f>IF($A28&lt;&gt;"",INDEX(Question_Map!$B$2:$B$100,27),"")</f>
        <v/>
      </c>
      <c r="C28" t="str">
        <f>IF($A28&lt;&gt;"",INDEX(Question_Map!$F$2:$F$100,27),"")</f>
        <v/>
      </c>
      <c r="D28" t="str">
        <f>IF($A28="","",COUNT(IFERROR(--INDEX(Raw_Responses!$1:$1048576,0,MATCH($A28,Raw_Responses!$1:$1,0)),"")))</f>
        <v/>
      </c>
      <c r="E28" t="str">
        <f>IF($A28="","",AVERAGE(IFERROR(--INDEX(Raw_Responses!$1:$1048576,0,MATCH($A28,Raw_Responses!$1:$1,0)),"")))</f>
        <v/>
      </c>
      <c r="F28" t="str">
        <f>IF($A28="","",MEDIAN(IFERROR(--INDEX(Raw_Responses!$1:$1048576,0,MATCH($A28,Raw_Responses!$1:$1,0)),"")))</f>
        <v/>
      </c>
      <c r="G28" t="str">
        <f>IF($A28="","",IF($H28="","",SUMPRODUCT(--(INDEX(Raw_Responses!$1:$1048576,0,MATCH($A28,Raw_Responses!$1:$1,0))&gt;=$H28))/COUNT(IFERROR(--INDEX(Raw_Responses!$1:$1048576,0,MATCH($A28,Raw_Responses!$1:$1,0)),""))))</f>
        <v/>
      </c>
      <c r="H28" t="str">
        <f>IF($A28="","",IF(INDEX(Question_Map!$E$2:$E$100,27)=10,8,IF(INDEX(Question_Map!$E$2:$E$100,27)=5,4,INDEX(Question_Map!$E$2:$E$100,27))))</f>
        <v/>
      </c>
    </row>
    <row r="29" spans="1:8" x14ac:dyDescent="0.35">
      <c r="A29" t="str">
        <f>IF(INDEX(Question_Map!$C$2:$C$100,28)="Scale",INDEX(Question_Map!$A$2:$A$100,28),"")</f>
        <v/>
      </c>
      <c r="B29" t="str">
        <f>IF($A29&lt;&gt;"",INDEX(Question_Map!$B$2:$B$100,28),"")</f>
        <v/>
      </c>
      <c r="C29" t="str">
        <f>IF($A29&lt;&gt;"",INDEX(Question_Map!$F$2:$F$100,28),"")</f>
        <v/>
      </c>
      <c r="D29" t="str">
        <f>IF($A29="","",COUNT(IFERROR(--INDEX(Raw_Responses!$1:$1048576,0,MATCH($A29,Raw_Responses!$1:$1,0)),"")))</f>
        <v/>
      </c>
      <c r="E29" t="str">
        <f>IF($A29="","",AVERAGE(IFERROR(--INDEX(Raw_Responses!$1:$1048576,0,MATCH($A29,Raw_Responses!$1:$1,0)),"")))</f>
        <v/>
      </c>
      <c r="F29" t="str">
        <f>IF($A29="","",MEDIAN(IFERROR(--INDEX(Raw_Responses!$1:$1048576,0,MATCH($A29,Raw_Responses!$1:$1,0)),"")))</f>
        <v/>
      </c>
      <c r="G29" t="str">
        <f>IF($A29="","",IF($H29="","",SUMPRODUCT(--(INDEX(Raw_Responses!$1:$1048576,0,MATCH($A29,Raw_Responses!$1:$1,0))&gt;=$H29))/COUNT(IFERROR(--INDEX(Raw_Responses!$1:$1048576,0,MATCH($A29,Raw_Responses!$1:$1,0)),""))))</f>
        <v/>
      </c>
      <c r="H29" t="str">
        <f>IF($A29="","",IF(INDEX(Question_Map!$E$2:$E$100,28)=10,8,IF(INDEX(Question_Map!$E$2:$E$100,28)=5,4,INDEX(Question_Map!$E$2:$E$100,28))))</f>
        <v/>
      </c>
    </row>
    <row r="30" spans="1:8" x14ac:dyDescent="0.35">
      <c r="A30" t="str">
        <f>IF(INDEX(Question_Map!$C$2:$C$100,29)="Scale",INDEX(Question_Map!$A$2:$A$100,29),"")</f>
        <v/>
      </c>
      <c r="B30" t="str">
        <f>IF($A30&lt;&gt;"",INDEX(Question_Map!$B$2:$B$100,29),"")</f>
        <v/>
      </c>
      <c r="C30" t="str">
        <f>IF($A30&lt;&gt;"",INDEX(Question_Map!$F$2:$F$100,29),"")</f>
        <v/>
      </c>
      <c r="D30" t="str">
        <f>IF($A30="","",COUNT(IFERROR(--INDEX(Raw_Responses!$1:$1048576,0,MATCH($A30,Raw_Responses!$1:$1,0)),"")))</f>
        <v/>
      </c>
      <c r="E30" t="str">
        <f>IF($A30="","",AVERAGE(IFERROR(--INDEX(Raw_Responses!$1:$1048576,0,MATCH($A30,Raw_Responses!$1:$1,0)),"")))</f>
        <v/>
      </c>
      <c r="F30" t="str">
        <f>IF($A30="","",MEDIAN(IFERROR(--INDEX(Raw_Responses!$1:$1048576,0,MATCH($A30,Raw_Responses!$1:$1,0)),"")))</f>
        <v/>
      </c>
      <c r="G30" t="str">
        <f>IF($A30="","",IF($H30="","",SUMPRODUCT(--(INDEX(Raw_Responses!$1:$1048576,0,MATCH($A30,Raw_Responses!$1:$1,0))&gt;=$H30))/COUNT(IFERROR(--INDEX(Raw_Responses!$1:$1048576,0,MATCH($A30,Raw_Responses!$1:$1,0)),""))))</f>
        <v/>
      </c>
      <c r="H30" t="str">
        <f>IF($A30="","",IF(INDEX(Question_Map!$E$2:$E$100,29)=10,8,IF(INDEX(Question_Map!$E$2:$E$100,29)=5,4,INDEX(Question_Map!$E$2:$E$100,29))))</f>
        <v/>
      </c>
    </row>
    <row r="31" spans="1:8" x14ac:dyDescent="0.35">
      <c r="A31" t="str">
        <f>IF(INDEX(Question_Map!$C$2:$C$100,30)="Scale",INDEX(Question_Map!$A$2:$A$100,30),"")</f>
        <v/>
      </c>
      <c r="B31" t="str">
        <f>IF($A31&lt;&gt;"",INDEX(Question_Map!$B$2:$B$100,30),"")</f>
        <v/>
      </c>
      <c r="C31" t="str">
        <f>IF($A31&lt;&gt;"",INDEX(Question_Map!$F$2:$F$100,30),"")</f>
        <v/>
      </c>
      <c r="D31" t="str">
        <f>IF($A31="","",COUNT(IFERROR(--INDEX(Raw_Responses!$1:$1048576,0,MATCH($A31,Raw_Responses!$1:$1,0)),"")))</f>
        <v/>
      </c>
      <c r="E31" t="str">
        <f>IF($A31="","",AVERAGE(IFERROR(--INDEX(Raw_Responses!$1:$1048576,0,MATCH($A31,Raw_Responses!$1:$1,0)),"")))</f>
        <v/>
      </c>
      <c r="F31" t="str">
        <f>IF($A31="","",MEDIAN(IFERROR(--INDEX(Raw_Responses!$1:$1048576,0,MATCH($A31,Raw_Responses!$1:$1,0)),"")))</f>
        <v/>
      </c>
      <c r="G31" t="str">
        <f>IF($A31="","",IF($H31="","",SUMPRODUCT(--(INDEX(Raw_Responses!$1:$1048576,0,MATCH($A31,Raw_Responses!$1:$1,0))&gt;=$H31))/COUNT(IFERROR(--INDEX(Raw_Responses!$1:$1048576,0,MATCH($A31,Raw_Responses!$1:$1,0)),""))))</f>
        <v/>
      </c>
      <c r="H31" t="str">
        <f>IF($A31="","",IF(INDEX(Question_Map!$E$2:$E$100,30)=10,8,IF(INDEX(Question_Map!$E$2:$E$100,30)=5,4,INDEX(Question_Map!$E$2:$E$100,30))))</f>
        <v/>
      </c>
    </row>
    <row r="34" spans="1:1" x14ac:dyDescent="0.35">
      <c r="A34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/>
  </sheetViews>
  <sheetFormatPr defaultRowHeight="14.5" x14ac:dyDescent="0.35"/>
  <cols>
    <col min="1" max="1" width="48" customWidth="1"/>
    <col min="2" max="2" width="14" customWidth="1"/>
    <col min="3" max="3" width="12" customWidth="1"/>
    <col min="4" max="5" width="10" customWidth="1"/>
    <col min="6" max="15" width="6" customWidth="1"/>
  </cols>
  <sheetData>
    <row r="1" spans="1:15" x14ac:dyDescent="0.35">
      <c r="A1" s="1" t="s">
        <v>25</v>
      </c>
      <c r="B1" s="1" t="s">
        <v>14</v>
      </c>
      <c r="C1" s="1" t="s">
        <v>49</v>
      </c>
      <c r="D1" s="1" t="s">
        <v>28</v>
      </c>
      <c r="E1" s="1" t="s">
        <v>29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</row>
    <row r="2" spans="1:15" x14ac:dyDescent="0.35">
      <c r="A2" t="str">
        <f>INDEX(Question_Map!$A$2:$A$100,1)</f>
        <v>I could complete the key tasks without help.</v>
      </c>
      <c r="B2" t="str">
        <f>INDEX(Question_Map!$B$2:$B$100,1)</f>
        <v>NonTech</v>
      </c>
      <c r="C2" t="str">
        <f>INDEX(Question_Map!$C$2:$C$100,1)</f>
        <v>Scale</v>
      </c>
      <c r="D2">
        <f>INDEX(Question_Map!$D$2:$D$100,1)</f>
        <v>1</v>
      </c>
      <c r="E2">
        <f>INDEX(Question_Map!$E$2:$E$100,1)</f>
        <v>10</v>
      </c>
      <c r="F2">
        <f>IF($C2&lt;&gt;"Scale","",COUNTIF(INDEX(Raw_Responses!$1:$1048576,0,MATCH($A2,Raw_Responses!$1:$1,0)),1))</f>
        <v>0</v>
      </c>
      <c r="G2">
        <f>IF($C2&lt;&gt;"Scale","",COUNTIF(INDEX(Raw_Responses!$1:$1048576,0,MATCH($A2,Raw_Responses!$1:$1,0)),2))</f>
        <v>0</v>
      </c>
      <c r="H2">
        <f>IF($C2&lt;&gt;"Scale","",COUNTIF(INDEX(Raw_Responses!$1:$1048576,0,MATCH($A2,Raw_Responses!$1:$1,0)),3))</f>
        <v>0</v>
      </c>
      <c r="I2">
        <f>IF($C2&lt;&gt;"Scale","",COUNTIF(INDEX(Raw_Responses!$1:$1048576,0,MATCH($A2,Raw_Responses!$1:$1,0)),4))</f>
        <v>0</v>
      </c>
      <c r="J2">
        <f>IF($C2&lt;&gt;"Scale","",COUNTIF(INDEX(Raw_Responses!$1:$1048576,0,MATCH($A2,Raw_Responses!$1:$1,0)),5))</f>
        <v>0</v>
      </c>
      <c r="K2">
        <f>IF($C2&lt;&gt;"Scale","",COUNTIF(INDEX(Raw_Responses!$1:$1048576,0,MATCH($A2,Raw_Responses!$1:$1,0)),6))</f>
        <v>0</v>
      </c>
      <c r="L2">
        <f>IF($C2&lt;&gt;"Scale","",COUNTIF(INDEX(Raw_Responses!$1:$1048576,0,MATCH($A2,Raw_Responses!$1:$1,0)),7))</f>
        <v>0</v>
      </c>
      <c r="M2">
        <f>IF($C2&lt;&gt;"Scale","",COUNTIF(INDEX(Raw_Responses!$1:$1048576,0,MATCH($A2,Raw_Responses!$1:$1,0)),8))</f>
        <v>0</v>
      </c>
      <c r="N2">
        <f>IF($C2&lt;&gt;"Scale","",COUNTIF(INDEX(Raw_Responses!$1:$1048576,0,MATCH($A2,Raw_Responses!$1:$1,0)),9))</f>
        <v>0</v>
      </c>
      <c r="O2">
        <f>IF($C2&lt;&gt;"Scale","",COUNTIF(INDEX(Raw_Responses!$1:$1048576,0,MATCH($A2,Raw_Responses!$1:$1,0)),10))</f>
        <v>0</v>
      </c>
    </row>
    <row r="3" spans="1:15" x14ac:dyDescent="0.35">
      <c r="A3" t="str">
        <f>INDEX(Question_Map!$A$2:$A$100,2)</f>
        <v>Labels and buttons were clear.</v>
      </c>
      <c r="B3" t="str">
        <f>INDEX(Question_Map!$B$2:$B$100,2)</f>
        <v>NonTech</v>
      </c>
      <c r="C3" t="str">
        <f>INDEX(Question_Map!$C$2:$C$100,2)</f>
        <v>Scale</v>
      </c>
      <c r="D3">
        <f>INDEX(Question_Map!$D$2:$D$100,2)</f>
        <v>1</v>
      </c>
      <c r="E3">
        <f>INDEX(Question_Map!$E$2:$E$100,2)</f>
        <v>10</v>
      </c>
      <c r="F3">
        <f>IF($C3&lt;&gt;"Scale","",COUNTIF(INDEX(Raw_Responses!$1:$1048576,0,MATCH($A3,Raw_Responses!$1:$1,0)),1))</f>
        <v>0</v>
      </c>
      <c r="G3">
        <f>IF($C3&lt;&gt;"Scale","",COUNTIF(INDEX(Raw_Responses!$1:$1048576,0,MATCH($A3,Raw_Responses!$1:$1,0)),2))</f>
        <v>0</v>
      </c>
      <c r="H3">
        <f>IF($C3&lt;&gt;"Scale","",COUNTIF(INDEX(Raw_Responses!$1:$1048576,0,MATCH($A3,Raw_Responses!$1:$1,0)),3))</f>
        <v>0</v>
      </c>
      <c r="I3">
        <f>IF($C3&lt;&gt;"Scale","",COUNTIF(INDEX(Raw_Responses!$1:$1048576,0,MATCH($A3,Raw_Responses!$1:$1,0)),4))</f>
        <v>0</v>
      </c>
      <c r="J3">
        <f>IF($C3&lt;&gt;"Scale","",COUNTIF(INDEX(Raw_Responses!$1:$1048576,0,MATCH($A3,Raw_Responses!$1:$1,0)),5))</f>
        <v>0</v>
      </c>
      <c r="K3">
        <f>IF($C3&lt;&gt;"Scale","",COUNTIF(INDEX(Raw_Responses!$1:$1048576,0,MATCH($A3,Raw_Responses!$1:$1,0)),6))</f>
        <v>0</v>
      </c>
      <c r="L3">
        <f>IF($C3&lt;&gt;"Scale","",COUNTIF(INDEX(Raw_Responses!$1:$1048576,0,MATCH($A3,Raw_Responses!$1:$1,0)),7))</f>
        <v>0</v>
      </c>
      <c r="M3">
        <f>IF($C3&lt;&gt;"Scale","",COUNTIF(INDEX(Raw_Responses!$1:$1048576,0,MATCH($A3,Raw_Responses!$1:$1,0)),8))</f>
        <v>0</v>
      </c>
      <c r="N3">
        <f>IF($C3&lt;&gt;"Scale","",COUNTIF(INDEX(Raw_Responses!$1:$1048576,0,MATCH($A3,Raw_Responses!$1:$1,0)),9))</f>
        <v>0</v>
      </c>
      <c r="O3">
        <f>IF($C3&lt;&gt;"Scale","",COUNTIF(INDEX(Raw_Responses!$1:$1048576,0,MATCH($A3,Raw_Responses!$1:$1,0)),10))</f>
        <v>0</v>
      </c>
    </row>
    <row r="4" spans="1:15" x14ac:dyDescent="0.35">
      <c r="A4" t="str">
        <f>INDEX(Question_Map!$A$2:$A$100,3)</f>
        <v>The layout was easy to navigate.</v>
      </c>
      <c r="B4" t="str">
        <f>INDEX(Question_Map!$B$2:$B$100,3)</f>
        <v>NonTech</v>
      </c>
      <c r="C4" t="str">
        <f>INDEX(Question_Map!$C$2:$C$100,3)</f>
        <v>Scale</v>
      </c>
      <c r="D4">
        <f>INDEX(Question_Map!$D$2:$D$100,3)</f>
        <v>1</v>
      </c>
      <c r="E4">
        <f>INDEX(Question_Map!$E$2:$E$100,3)</f>
        <v>10</v>
      </c>
      <c r="F4">
        <f>IF($C4&lt;&gt;"Scale","",COUNTIF(INDEX(Raw_Responses!$1:$1048576,0,MATCH($A4,Raw_Responses!$1:$1,0)),1))</f>
        <v>0</v>
      </c>
      <c r="G4">
        <f>IF($C4&lt;&gt;"Scale","",COUNTIF(INDEX(Raw_Responses!$1:$1048576,0,MATCH($A4,Raw_Responses!$1:$1,0)),2))</f>
        <v>0</v>
      </c>
      <c r="H4">
        <f>IF($C4&lt;&gt;"Scale","",COUNTIF(INDEX(Raw_Responses!$1:$1048576,0,MATCH($A4,Raw_Responses!$1:$1,0)),3))</f>
        <v>0</v>
      </c>
      <c r="I4">
        <f>IF($C4&lt;&gt;"Scale","",COUNTIF(INDEX(Raw_Responses!$1:$1048576,0,MATCH($A4,Raw_Responses!$1:$1,0)),4))</f>
        <v>0</v>
      </c>
      <c r="J4">
        <f>IF($C4&lt;&gt;"Scale","",COUNTIF(INDEX(Raw_Responses!$1:$1048576,0,MATCH($A4,Raw_Responses!$1:$1,0)),5))</f>
        <v>0</v>
      </c>
      <c r="K4">
        <f>IF($C4&lt;&gt;"Scale","",COUNTIF(INDEX(Raw_Responses!$1:$1048576,0,MATCH($A4,Raw_Responses!$1:$1,0)),6))</f>
        <v>0</v>
      </c>
      <c r="L4">
        <f>IF($C4&lt;&gt;"Scale","",COUNTIF(INDEX(Raw_Responses!$1:$1048576,0,MATCH($A4,Raw_Responses!$1:$1,0)),7))</f>
        <v>0</v>
      </c>
      <c r="M4">
        <f>IF($C4&lt;&gt;"Scale","",COUNTIF(INDEX(Raw_Responses!$1:$1048576,0,MATCH($A4,Raw_Responses!$1:$1,0)),8))</f>
        <v>0</v>
      </c>
      <c r="N4">
        <f>IF($C4&lt;&gt;"Scale","",COUNTIF(INDEX(Raw_Responses!$1:$1048576,0,MATCH($A4,Raw_Responses!$1:$1,0)),9))</f>
        <v>0</v>
      </c>
      <c r="O4">
        <f>IF($C4&lt;&gt;"Scale","",COUNTIF(INDEX(Raw_Responses!$1:$1048576,0,MATCH($A4,Raw_Responses!$1:$1,0)),10))</f>
        <v>0</v>
      </c>
    </row>
    <row r="5" spans="1:15" x14ac:dyDescent="0.35">
      <c r="A5" t="str">
        <f>INDEX(Question_Map!$A$2:$A$100,4)</f>
        <v>Pages loaded fast enough.</v>
      </c>
      <c r="B5" t="str">
        <f>INDEX(Question_Map!$B$2:$B$100,4)</f>
        <v>NonTech</v>
      </c>
      <c r="C5" t="str">
        <f>INDEX(Question_Map!$C$2:$C$100,4)</f>
        <v>Scale</v>
      </c>
      <c r="D5">
        <f>INDEX(Question_Map!$D$2:$D$100,4)</f>
        <v>1</v>
      </c>
      <c r="E5">
        <f>INDEX(Question_Map!$E$2:$E$100,4)</f>
        <v>10</v>
      </c>
      <c r="F5">
        <f>IF($C5&lt;&gt;"Scale","",COUNTIF(INDEX(Raw_Responses!$1:$1048576,0,MATCH($A5,Raw_Responses!$1:$1,0)),1))</f>
        <v>0</v>
      </c>
      <c r="G5">
        <f>IF($C5&lt;&gt;"Scale","",COUNTIF(INDEX(Raw_Responses!$1:$1048576,0,MATCH($A5,Raw_Responses!$1:$1,0)),2))</f>
        <v>0</v>
      </c>
      <c r="H5">
        <f>IF($C5&lt;&gt;"Scale","",COUNTIF(INDEX(Raw_Responses!$1:$1048576,0,MATCH($A5,Raw_Responses!$1:$1,0)),3))</f>
        <v>0</v>
      </c>
      <c r="I5">
        <f>IF($C5&lt;&gt;"Scale","",COUNTIF(INDEX(Raw_Responses!$1:$1048576,0,MATCH($A5,Raw_Responses!$1:$1,0)),4))</f>
        <v>0</v>
      </c>
      <c r="J5">
        <f>IF($C5&lt;&gt;"Scale","",COUNTIF(INDEX(Raw_Responses!$1:$1048576,0,MATCH($A5,Raw_Responses!$1:$1,0)),5))</f>
        <v>0</v>
      </c>
      <c r="K5">
        <f>IF($C5&lt;&gt;"Scale","",COUNTIF(INDEX(Raw_Responses!$1:$1048576,0,MATCH($A5,Raw_Responses!$1:$1,0)),6))</f>
        <v>0</v>
      </c>
      <c r="L5">
        <f>IF($C5&lt;&gt;"Scale","",COUNTIF(INDEX(Raw_Responses!$1:$1048576,0,MATCH($A5,Raw_Responses!$1:$1,0)),7))</f>
        <v>0</v>
      </c>
      <c r="M5">
        <f>IF($C5&lt;&gt;"Scale","",COUNTIF(INDEX(Raw_Responses!$1:$1048576,0,MATCH($A5,Raw_Responses!$1:$1,0)),8))</f>
        <v>0</v>
      </c>
      <c r="N5">
        <f>IF($C5&lt;&gt;"Scale","",COUNTIF(INDEX(Raw_Responses!$1:$1048576,0,MATCH($A5,Raw_Responses!$1:$1,0)),9))</f>
        <v>0</v>
      </c>
      <c r="O5">
        <f>IF($C5&lt;&gt;"Scale","",COUNTIF(INDEX(Raw_Responses!$1:$1048576,0,MATCH($A5,Raw_Responses!$1:$1,0)),10))</f>
        <v>0</v>
      </c>
    </row>
    <row r="6" spans="1:15" x14ac:dyDescent="0.35">
      <c r="A6" t="str">
        <f>INDEX(Question_Map!$A$2:$A$100,5)</f>
        <v>It worked comfortably on my phone/tablet.</v>
      </c>
      <c r="B6" t="str">
        <f>INDEX(Question_Map!$B$2:$B$100,5)</f>
        <v>NonTech</v>
      </c>
      <c r="C6" t="str">
        <f>INDEX(Question_Map!$C$2:$C$100,5)</f>
        <v>Scale</v>
      </c>
      <c r="D6">
        <f>INDEX(Question_Map!$D$2:$D$100,5)</f>
        <v>1</v>
      </c>
      <c r="E6">
        <f>INDEX(Question_Map!$E$2:$E$100,5)</f>
        <v>10</v>
      </c>
      <c r="F6">
        <f>IF($C6&lt;&gt;"Scale","",COUNTIF(INDEX(Raw_Responses!$1:$1048576,0,MATCH($A6,Raw_Responses!$1:$1,0)),1))</f>
        <v>0</v>
      </c>
      <c r="G6">
        <f>IF($C6&lt;&gt;"Scale","",COUNTIF(INDEX(Raw_Responses!$1:$1048576,0,MATCH($A6,Raw_Responses!$1:$1,0)),2))</f>
        <v>0</v>
      </c>
      <c r="H6">
        <f>IF($C6&lt;&gt;"Scale","",COUNTIF(INDEX(Raw_Responses!$1:$1048576,0,MATCH($A6,Raw_Responses!$1:$1,0)),3))</f>
        <v>0</v>
      </c>
      <c r="I6">
        <f>IF($C6&lt;&gt;"Scale","",COUNTIF(INDEX(Raw_Responses!$1:$1048576,0,MATCH($A6,Raw_Responses!$1:$1,0)),4))</f>
        <v>0</v>
      </c>
      <c r="J6">
        <f>IF($C6&lt;&gt;"Scale","",COUNTIF(INDEX(Raw_Responses!$1:$1048576,0,MATCH($A6,Raw_Responses!$1:$1,0)),5))</f>
        <v>0</v>
      </c>
      <c r="K6">
        <f>IF($C6&lt;&gt;"Scale","",COUNTIF(INDEX(Raw_Responses!$1:$1048576,0,MATCH($A6,Raw_Responses!$1:$1,0)),6))</f>
        <v>0</v>
      </c>
      <c r="L6">
        <f>IF($C6&lt;&gt;"Scale","",COUNTIF(INDEX(Raw_Responses!$1:$1048576,0,MATCH($A6,Raw_Responses!$1:$1,0)),7))</f>
        <v>0</v>
      </c>
      <c r="M6">
        <f>IF($C6&lt;&gt;"Scale","",COUNTIF(INDEX(Raw_Responses!$1:$1048576,0,MATCH($A6,Raw_Responses!$1:$1,0)),8))</f>
        <v>0</v>
      </c>
      <c r="N6">
        <f>IF($C6&lt;&gt;"Scale","",COUNTIF(INDEX(Raw_Responses!$1:$1048576,0,MATCH($A6,Raw_Responses!$1:$1,0)),9))</f>
        <v>0</v>
      </c>
      <c r="O6">
        <f>IF($C6&lt;&gt;"Scale","",COUNTIF(INDEX(Raw_Responses!$1:$1048576,0,MATCH($A6,Raw_Responses!$1:$1,0)),10))</f>
        <v>0</v>
      </c>
    </row>
    <row r="7" spans="1:15" x14ac:dyDescent="0.35">
      <c r="A7" t="str">
        <f>INDEX(Question_Map!$A$2:$A$100,6)</f>
        <v>Overall, it meets my needs.</v>
      </c>
      <c r="B7" t="str">
        <f>INDEX(Question_Map!$B$2:$B$100,6)</f>
        <v>NonTech</v>
      </c>
      <c r="C7" t="str">
        <f>INDEX(Question_Map!$C$2:$C$100,6)</f>
        <v>Scale</v>
      </c>
      <c r="D7">
        <f>INDEX(Question_Map!$D$2:$D$100,6)</f>
        <v>1</v>
      </c>
      <c r="E7">
        <f>INDEX(Question_Map!$E$2:$E$100,6)</f>
        <v>10</v>
      </c>
      <c r="F7">
        <f>IF($C7&lt;&gt;"Scale","",COUNTIF(INDEX(Raw_Responses!$1:$1048576,0,MATCH($A7,Raw_Responses!$1:$1,0)),1))</f>
        <v>0</v>
      </c>
      <c r="G7">
        <f>IF($C7&lt;&gt;"Scale","",COUNTIF(INDEX(Raw_Responses!$1:$1048576,0,MATCH($A7,Raw_Responses!$1:$1,0)),2))</f>
        <v>0</v>
      </c>
      <c r="H7">
        <f>IF($C7&lt;&gt;"Scale","",COUNTIF(INDEX(Raw_Responses!$1:$1048576,0,MATCH($A7,Raw_Responses!$1:$1,0)),3))</f>
        <v>0</v>
      </c>
      <c r="I7">
        <f>IF($C7&lt;&gt;"Scale","",COUNTIF(INDEX(Raw_Responses!$1:$1048576,0,MATCH($A7,Raw_Responses!$1:$1,0)),4))</f>
        <v>0</v>
      </c>
      <c r="J7">
        <f>IF($C7&lt;&gt;"Scale","",COUNTIF(INDEX(Raw_Responses!$1:$1048576,0,MATCH($A7,Raw_Responses!$1:$1,0)),5))</f>
        <v>0</v>
      </c>
      <c r="K7">
        <f>IF($C7&lt;&gt;"Scale","",COUNTIF(INDEX(Raw_Responses!$1:$1048576,0,MATCH($A7,Raw_Responses!$1:$1,0)),6))</f>
        <v>0</v>
      </c>
      <c r="L7">
        <f>IF($C7&lt;&gt;"Scale","",COUNTIF(INDEX(Raw_Responses!$1:$1048576,0,MATCH($A7,Raw_Responses!$1:$1,0)),7))</f>
        <v>0</v>
      </c>
      <c r="M7">
        <f>IF($C7&lt;&gt;"Scale","",COUNTIF(INDEX(Raw_Responses!$1:$1048576,0,MATCH($A7,Raw_Responses!$1:$1,0)),8))</f>
        <v>0</v>
      </c>
      <c r="N7">
        <f>IF($C7&lt;&gt;"Scale","",COUNTIF(INDEX(Raw_Responses!$1:$1048576,0,MATCH($A7,Raw_Responses!$1:$1,0)),9))</f>
        <v>0</v>
      </c>
      <c r="O7">
        <f>IF($C7&lt;&gt;"Scale","",COUNTIF(INDEX(Raw_Responses!$1:$1048576,0,MATCH($A7,Raw_Responses!$1:$1,0)),10))</f>
        <v>0</v>
      </c>
    </row>
    <row r="8" spans="1:15" x14ac:dyDescent="0.35">
      <c r="A8" t="str">
        <f>INDEX(Question_Map!$A$2:$A$100,7)</f>
        <v>Which feature was most useful?</v>
      </c>
      <c r="B8" t="str">
        <f>INDEX(Question_Map!$B$2:$B$100,7)</f>
        <v>NonTech</v>
      </c>
      <c r="C8" t="str">
        <f>INDEX(Question_Map!$C$2:$C$100,7)</f>
        <v>MCQ</v>
      </c>
      <c r="D8">
        <f>INDEX(Question_Map!$D$2:$D$100,7)</f>
        <v>0</v>
      </c>
      <c r="E8">
        <f>INDEX(Question_Map!$E$2:$E$100,7)</f>
        <v>0</v>
      </c>
      <c r="F8" t="str">
        <f>IF($C8&lt;&gt;"Scale","",COUNTIF(INDEX(Raw_Responses!$1:$1048576,0,MATCH($A8,Raw_Responses!$1:$1,0)),1))</f>
        <v/>
      </c>
      <c r="G8" t="str">
        <f>IF($C8&lt;&gt;"Scale","",COUNTIF(INDEX(Raw_Responses!$1:$1048576,0,MATCH($A8,Raw_Responses!$1:$1,0)),2))</f>
        <v/>
      </c>
      <c r="H8" t="str">
        <f>IF($C8&lt;&gt;"Scale","",COUNTIF(INDEX(Raw_Responses!$1:$1048576,0,MATCH($A8,Raw_Responses!$1:$1,0)),3))</f>
        <v/>
      </c>
      <c r="I8" t="str">
        <f>IF($C8&lt;&gt;"Scale","",COUNTIF(INDEX(Raw_Responses!$1:$1048576,0,MATCH($A8,Raw_Responses!$1:$1,0)),4))</f>
        <v/>
      </c>
      <c r="J8" t="str">
        <f>IF($C8&lt;&gt;"Scale","",COUNTIF(INDEX(Raw_Responses!$1:$1048576,0,MATCH($A8,Raw_Responses!$1:$1,0)),5))</f>
        <v/>
      </c>
      <c r="K8" t="str">
        <f>IF($C8&lt;&gt;"Scale","",COUNTIF(INDEX(Raw_Responses!$1:$1048576,0,MATCH($A8,Raw_Responses!$1:$1,0)),6))</f>
        <v/>
      </c>
      <c r="L8" t="str">
        <f>IF($C8&lt;&gt;"Scale","",COUNTIF(INDEX(Raw_Responses!$1:$1048576,0,MATCH($A8,Raw_Responses!$1:$1,0)),7))</f>
        <v/>
      </c>
      <c r="M8" t="str">
        <f>IF($C8&lt;&gt;"Scale","",COUNTIF(INDEX(Raw_Responses!$1:$1048576,0,MATCH($A8,Raw_Responses!$1:$1,0)),8))</f>
        <v/>
      </c>
      <c r="N8" t="str">
        <f>IF($C8&lt;&gt;"Scale","",COUNTIF(INDEX(Raw_Responses!$1:$1048576,0,MATCH($A8,Raw_Responses!$1:$1,0)),9))</f>
        <v/>
      </c>
      <c r="O8" t="str">
        <f>IF($C8&lt;&gt;"Scale","",COUNTIF(INDEX(Raw_Responses!$1:$1048576,0,MATCH($A8,Raw_Responses!$1:$1,0)),10))</f>
        <v/>
      </c>
    </row>
    <row r="9" spans="1:15" x14ac:dyDescent="0.35">
      <c r="A9" t="str">
        <f>INDEX(Question_Map!$A$2:$A$100,8)</f>
        <v>What confused you or slowed you down and why?</v>
      </c>
      <c r="B9" t="str">
        <f>INDEX(Question_Map!$B$2:$B$100,8)</f>
        <v>NonTech</v>
      </c>
      <c r="C9" t="str">
        <f>INDEX(Question_Map!$C$2:$C$100,8)</f>
        <v>Text</v>
      </c>
      <c r="D9">
        <f>INDEX(Question_Map!$D$2:$D$100,8)</f>
        <v>0</v>
      </c>
      <c r="E9">
        <f>INDEX(Question_Map!$E$2:$E$100,8)</f>
        <v>0</v>
      </c>
      <c r="F9" t="str">
        <f>IF($C9&lt;&gt;"Scale","",COUNTIF(INDEX(Raw_Responses!$1:$1048576,0,MATCH($A9,Raw_Responses!$1:$1,0)),1))</f>
        <v/>
      </c>
      <c r="G9" t="str">
        <f>IF($C9&lt;&gt;"Scale","",COUNTIF(INDEX(Raw_Responses!$1:$1048576,0,MATCH($A9,Raw_Responses!$1:$1,0)),2))</f>
        <v/>
      </c>
      <c r="H9" t="str">
        <f>IF($C9&lt;&gt;"Scale","",COUNTIF(INDEX(Raw_Responses!$1:$1048576,0,MATCH($A9,Raw_Responses!$1:$1,0)),3))</f>
        <v/>
      </c>
      <c r="I9" t="str">
        <f>IF($C9&lt;&gt;"Scale","",COUNTIF(INDEX(Raw_Responses!$1:$1048576,0,MATCH($A9,Raw_Responses!$1:$1,0)),4))</f>
        <v/>
      </c>
      <c r="J9" t="str">
        <f>IF($C9&lt;&gt;"Scale","",COUNTIF(INDEX(Raw_Responses!$1:$1048576,0,MATCH($A9,Raw_Responses!$1:$1,0)),5))</f>
        <v/>
      </c>
      <c r="K9" t="str">
        <f>IF($C9&lt;&gt;"Scale","",COUNTIF(INDEX(Raw_Responses!$1:$1048576,0,MATCH($A9,Raw_Responses!$1:$1,0)),6))</f>
        <v/>
      </c>
      <c r="L9" t="str">
        <f>IF($C9&lt;&gt;"Scale","",COUNTIF(INDEX(Raw_Responses!$1:$1048576,0,MATCH($A9,Raw_Responses!$1:$1,0)),7))</f>
        <v/>
      </c>
      <c r="M9" t="str">
        <f>IF($C9&lt;&gt;"Scale","",COUNTIF(INDEX(Raw_Responses!$1:$1048576,0,MATCH($A9,Raw_Responses!$1:$1,0)),8))</f>
        <v/>
      </c>
      <c r="N9" t="str">
        <f>IF($C9&lt;&gt;"Scale","",COUNTIF(INDEX(Raw_Responses!$1:$1048576,0,MATCH($A9,Raw_Responses!$1:$1,0)),9))</f>
        <v/>
      </c>
      <c r="O9" t="str">
        <f>IF($C9&lt;&gt;"Scale","",COUNTIF(INDEX(Raw_Responses!$1:$1048576,0,MATCH($A9,Raw_Responses!$1:$1,0)),10))</f>
        <v/>
      </c>
    </row>
    <row r="10" spans="1:15" x14ac:dyDescent="0.35">
      <c r="A10" t="str">
        <f>INDEX(Question_Map!$A$2:$A$100,9)</f>
        <v>Top 2 improvements you'd like next</v>
      </c>
      <c r="B10" t="str">
        <f>INDEX(Question_Map!$B$2:$B$100,9)</f>
        <v>NonTech</v>
      </c>
      <c r="C10" t="str">
        <f>INDEX(Question_Map!$C$2:$C$100,9)</f>
        <v>Text</v>
      </c>
      <c r="D10">
        <f>INDEX(Question_Map!$D$2:$D$100,9)</f>
        <v>0</v>
      </c>
      <c r="E10">
        <f>INDEX(Question_Map!$E$2:$E$100,9)</f>
        <v>0</v>
      </c>
      <c r="F10" t="str">
        <f>IF($C10&lt;&gt;"Scale","",COUNTIF(INDEX(Raw_Responses!$1:$1048576,0,MATCH($A10,Raw_Responses!$1:$1,0)),1))</f>
        <v/>
      </c>
      <c r="G10" t="str">
        <f>IF($C10&lt;&gt;"Scale","",COUNTIF(INDEX(Raw_Responses!$1:$1048576,0,MATCH($A10,Raw_Responses!$1:$1,0)),2))</f>
        <v/>
      </c>
      <c r="H10" t="str">
        <f>IF($C10&lt;&gt;"Scale","",COUNTIF(INDEX(Raw_Responses!$1:$1048576,0,MATCH($A10,Raw_Responses!$1:$1,0)),3))</f>
        <v/>
      </c>
      <c r="I10" t="str">
        <f>IF($C10&lt;&gt;"Scale","",COUNTIF(INDEX(Raw_Responses!$1:$1048576,0,MATCH($A10,Raw_Responses!$1:$1,0)),4))</f>
        <v/>
      </c>
      <c r="J10" t="str">
        <f>IF($C10&lt;&gt;"Scale","",COUNTIF(INDEX(Raw_Responses!$1:$1048576,0,MATCH($A10,Raw_Responses!$1:$1,0)),5))</f>
        <v/>
      </c>
      <c r="K10" t="str">
        <f>IF($C10&lt;&gt;"Scale","",COUNTIF(INDEX(Raw_Responses!$1:$1048576,0,MATCH($A10,Raw_Responses!$1:$1,0)),6))</f>
        <v/>
      </c>
      <c r="L10" t="str">
        <f>IF($C10&lt;&gt;"Scale","",COUNTIF(INDEX(Raw_Responses!$1:$1048576,0,MATCH($A10,Raw_Responses!$1:$1,0)),7))</f>
        <v/>
      </c>
      <c r="M10" t="str">
        <f>IF($C10&lt;&gt;"Scale","",COUNTIF(INDEX(Raw_Responses!$1:$1048576,0,MATCH($A10,Raw_Responses!$1:$1,0)),8))</f>
        <v/>
      </c>
      <c r="N10" t="str">
        <f>IF($C10&lt;&gt;"Scale","",COUNTIF(INDEX(Raw_Responses!$1:$1048576,0,MATCH($A10,Raw_Responses!$1:$1,0)),9))</f>
        <v/>
      </c>
      <c r="O10" t="str">
        <f>IF($C10&lt;&gt;"Scale","",COUNTIF(INDEX(Raw_Responses!$1:$1048576,0,MATCH($A10,Raw_Responses!$1:$1,0)),10))</f>
        <v/>
      </c>
    </row>
    <row r="11" spans="1:15" x14ac:dyDescent="0.35">
      <c r="A11" t="str">
        <f>INDEX(Question_Map!$A$2:$A$100,10)</f>
        <v>Anything you liked that I should keep</v>
      </c>
      <c r="B11" t="str">
        <f>INDEX(Question_Map!$B$2:$B$100,10)</f>
        <v>NonTech</v>
      </c>
      <c r="C11" t="str">
        <f>INDEX(Question_Map!$C$2:$C$100,10)</f>
        <v>Text</v>
      </c>
      <c r="D11">
        <f>INDEX(Question_Map!$D$2:$D$100,10)</f>
        <v>0</v>
      </c>
      <c r="E11">
        <f>INDEX(Question_Map!$E$2:$E$100,10)</f>
        <v>0</v>
      </c>
      <c r="F11" t="str">
        <f>IF($C11&lt;&gt;"Scale","",COUNTIF(INDEX(Raw_Responses!$1:$1048576,0,MATCH($A11,Raw_Responses!$1:$1,0)),1))</f>
        <v/>
      </c>
      <c r="G11" t="str">
        <f>IF($C11&lt;&gt;"Scale","",COUNTIF(INDEX(Raw_Responses!$1:$1048576,0,MATCH($A11,Raw_Responses!$1:$1,0)),2))</f>
        <v/>
      </c>
      <c r="H11" t="str">
        <f>IF($C11&lt;&gt;"Scale","",COUNTIF(INDEX(Raw_Responses!$1:$1048576,0,MATCH($A11,Raw_Responses!$1:$1,0)),3))</f>
        <v/>
      </c>
      <c r="I11" t="str">
        <f>IF($C11&lt;&gt;"Scale","",COUNTIF(INDEX(Raw_Responses!$1:$1048576,0,MATCH($A11,Raw_Responses!$1:$1,0)),4))</f>
        <v/>
      </c>
      <c r="J11" t="str">
        <f>IF($C11&lt;&gt;"Scale","",COUNTIF(INDEX(Raw_Responses!$1:$1048576,0,MATCH($A11,Raw_Responses!$1:$1,0)),5))</f>
        <v/>
      </c>
      <c r="K11" t="str">
        <f>IF($C11&lt;&gt;"Scale","",COUNTIF(INDEX(Raw_Responses!$1:$1048576,0,MATCH($A11,Raw_Responses!$1:$1,0)),6))</f>
        <v/>
      </c>
      <c r="L11" t="str">
        <f>IF($C11&lt;&gt;"Scale","",COUNTIF(INDEX(Raw_Responses!$1:$1048576,0,MATCH($A11,Raw_Responses!$1:$1,0)),7))</f>
        <v/>
      </c>
      <c r="M11" t="str">
        <f>IF($C11&lt;&gt;"Scale","",COUNTIF(INDEX(Raw_Responses!$1:$1048576,0,MATCH($A11,Raw_Responses!$1:$1,0)),8))</f>
        <v/>
      </c>
      <c r="N11" t="str">
        <f>IF($C11&lt;&gt;"Scale","",COUNTIF(INDEX(Raw_Responses!$1:$1048576,0,MATCH($A11,Raw_Responses!$1:$1,0)),9))</f>
        <v/>
      </c>
      <c r="O11" t="str">
        <f>IF($C11&lt;&gt;"Scale","",COUNTIF(INDEX(Raw_Responses!$1:$1048576,0,MATCH($A11,Raw_Responses!$1:$1,0)),10))</f>
        <v/>
      </c>
    </row>
    <row r="12" spans="1:15" x14ac:dyDescent="0.35">
      <c r="A12">
        <f>INDEX(Question_Map!$A$2:$A$100,11)</f>
        <v>0</v>
      </c>
      <c r="B12">
        <f>INDEX(Question_Map!$B$2:$B$100,11)</f>
        <v>0</v>
      </c>
      <c r="C12">
        <f>INDEX(Question_Map!$C$2:$C$100,11)</f>
        <v>0</v>
      </c>
      <c r="D12">
        <f>INDEX(Question_Map!$D$2:$D$100,11)</f>
        <v>0</v>
      </c>
      <c r="E12">
        <f>INDEX(Question_Map!$E$2:$E$100,11)</f>
        <v>0</v>
      </c>
      <c r="F12" t="str">
        <f>IF($C12&lt;&gt;"Scale","",COUNTIF(INDEX(Raw_Responses!$1:$1048576,0,MATCH($A12,Raw_Responses!$1:$1,0)),1))</f>
        <v/>
      </c>
      <c r="G12" t="str">
        <f>IF($C12&lt;&gt;"Scale","",COUNTIF(INDEX(Raw_Responses!$1:$1048576,0,MATCH($A12,Raw_Responses!$1:$1,0)),2))</f>
        <v/>
      </c>
      <c r="H12" t="str">
        <f>IF($C12&lt;&gt;"Scale","",COUNTIF(INDEX(Raw_Responses!$1:$1048576,0,MATCH($A12,Raw_Responses!$1:$1,0)),3))</f>
        <v/>
      </c>
      <c r="I12" t="str">
        <f>IF($C12&lt;&gt;"Scale","",COUNTIF(INDEX(Raw_Responses!$1:$1048576,0,MATCH($A12,Raw_Responses!$1:$1,0)),4))</f>
        <v/>
      </c>
      <c r="J12" t="str">
        <f>IF($C12&lt;&gt;"Scale","",COUNTIF(INDEX(Raw_Responses!$1:$1048576,0,MATCH($A12,Raw_Responses!$1:$1,0)),5))</f>
        <v/>
      </c>
      <c r="K12" t="str">
        <f>IF($C12&lt;&gt;"Scale","",COUNTIF(INDEX(Raw_Responses!$1:$1048576,0,MATCH($A12,Raw_Responses!$1:$1,0)),6))</f>
        <v/>
      </c>
      <c r="L12" t="str">
        <f>IF($C12&lt;&gt;"Scale","",COUNTIF(INDEX(Raw_Responses!$1:$1048576,0,MATCH($A12,Raw_Responses!$1:$1,0)),7))</f>
        <v/>
      </c>
      <c r="M12" t="str">
        <f>IF($C12&lt;&gt;"Scale","",COUNTIF(INDEX(Raw_Responses!$1:$1048576,0,MATCH($A12,Raw_Responses!$1:$1,0)),8))</f>
        <v/>
      </c>
      <c r="N12" t="str">
        <f>IF($C12&lt;&gt;"Scale","",COUNTIF(INDEX(Raw_Responses!$1:$1048576,0,MATCH($A12,Raw_Responses!$1:$1,0)),9))</f>
        <v/>
      </c>
      <c r="O12" t="str">
        <f>IF($C12&lt;&gt;"Scale","",COUNTIF(INDEX(Raw_Responses!$1:$1048576,0,MATCH($A12,Raw_Responses!$1:$1,0)),10))</f>
        <v/>
      </c>
    </row>
    <row r="13" spans="1:15" x14ac:dyDescent="0.35">
      <c r="A13">
        <f>INDEX(Question_Map!$A$2:$A$100,12)</f>
        <v>0</v>
      </c>
      <c r="B13">
        <f>INDEX(Question_Map!$B$2:$B$100,12)</f>
        <v>0</v>
      </c>
      <c r="C13">
        <f>INDEX(Question_Map!$C$2:$C$100,12)</f>
        <v>0</v>
      </c>
      <c r="D13">
        <f>INDEX(Question_Map!$D$2:$D$100,12)</f>
        <v>0</v>
      </c>
      <c r="E13">
        <f>INDEX(Question_Map!$E$2:$E$100,12)</f>
        <v>0</v>
      </c>
      <c r="F13" t="str">
        <f>IF($C13&lt;&gt;"Scale","",COUNTIF(INDEX(Raw_Responses!$1:$1048576,0,MATCH($A13,Raw_Responses!$1:$1,0)),1))</f>
        <v/>
      </c>
      <c r="G13" t="str">
        <f>IF($C13&lt;&gt;"Scale","",COUNTIF(INDEX(Raw_Responses!$1:$1048576,0,MATCH($A13,Raw_Responses!$1:$1,0)),2))</f>
        <v/>
      </c>
      <c r="H13" t="str">
        <f>IF($C13&lt;&gt;"Scale","",COUNTIF(INDEX(Raw_Responses!$1:$1048576,0,MATCH($A13,Raw_Responses!$1:$1,0)),3))</f>
        <v/>
      </c>
      <c r="I13" t="str">
        <f>IF($C13&lt;&gt;"Scale","",COUNTIF(INDEX(Raw_Responses!$1:$1048576,0,MATCH($A13,Raw_Responses!$1:$1,0)),4))</f>
        <v/>
      </c>
      <c r="J13" t="str">
        <f>IF($C13&lt;&gt;"Scale","",COUNTIF(INDEX(Raw_Responses!$1:$1048576,0,MATCH($A13,Raw_Responses!$1:$1,0)),5))</f>
        <v/>
      </c>
      <c r="K13" t="str">
        <f>IF($C13&lt;&gt;"Scale","",COUNTIF(INDEX(Raw_Responses!$1:$1048576,0,MATCH($A13,Raw_Responses!$1:$1,0)),6))</f>
        <v/>
      </c>
      <c r="L13" t="str">
        <f>IF($C13&lt;&gt;"Scale","",COUNTIF(INDEX(Raw_Responses!$1:$1048576,0,MATCH($A13,Raw_Responses!$1:$1,0)),7))</f>
        <v/>
      </c>
      <c r="M13" t="str">
        <f>IF($C13&lt;&gt;"Scale","",COUNTIF(INDEX(Raw_Responses!$1:$1048576,0,MATCH($A13,Raw_Responses!$1:$1,0)),8))</f>
        <v/>
      </c>
      <c r="N13" t="str">
        <f>IF($C13&lt;&gt;"Scale","",COUNTIF(INDEX(Raw_Responses!$1:$1048576,0,MATCH($A13,Raw_Responses!$1:$1,0)),9))</f>
        <v/>
      </c>
      <c r="O13" t="str">
        <f>IF($C13&lt;&gt;"Scale","",COUNTIF(INDEX(Raw_Responses!$1:$1048576,0,MATCH($A13,Raw_Responses!$1:$1,0)),10))</f>
        <v/>
      </c>
    </row>
    <row r="14" spans="1:15" x14ac:dyDescent="0.35">
      <c r="A14">
        <f>INDEX(Question_Map!$A$2:$A$100,13)</f>
        <v>0</v>
      </c>
      <c r="B14">
        <f>INDEX(Question_Map!$B$2:$B$100,13)</f>
        <v>0</v>
      </c>
      <c r="C14">
        <f>INDEX(Question_Map!$C$2:$C$100,13)</f>
        <v>0</v>
      </c>
      <c r="D14">
        <f>INDEX(Question_Map!$D$2:$D$100,13)</f>
        <v>0</v>
      </c>
      <c r="E14">
        <f>INDEX(Question_Map!$E$2:$E$100,13)</f>
        <v>0</v>
      </c>
      <c r="F14" t="str">
        <f>IF($C14&lt;&gt;"Scale","",COUNTIF(INDEX(Raw_Responses!$1:$1048576,0,MATCH($A14,Raw_Responses!$1:$1,0)),1))</f>
        <v/>
      </c>
      <c r="G14" t="str">
        <f>IF($C14&lt;&gt;"Scale","",COUNTIF(INDEX(Raw_Responses!$1:$1048576,0,MATCH($A14,Raw_Responses!$1:$1,0)),2))</f>
        <v/>
      </c>
      <c r="H14" t="str">
        <f>IF($C14&lt;&gt;"Scale","",COUNTIF(INDEX(Raw_Responses!$1:$1048576,0,MATCH($A14,Raw_Responses!$1:$1,0)),3))</f>
        <v/>
      </c>
      <c r="I14" t="str">
        <f>IF($C14&lt;&gt;"Scale","",COUNTIF(INDEX(Raw_Responses!$1:$1048576,0,MATCH($A14,Raw_Responses!$1:$1,0)),4))</f>
        <v/>
      </c>
      <c r="J14" t="str">
        <f>IF($C14&lt;&gt;"Scale","",COUNTIF(INDEX(Raw_Responses!$1:$1048576,0,MATCH($A14,Raw_Responses!$1:$1,0)),5))</f>
        <v/>
      </c>
      <c r="K14" t="str">
        <f>IF($C14&lt;&gt;"Scale","",COUNTIF(INDEX(Raw_Responses!$1:$1048576,0,MATCH($A14,Raw_Responses!$1:$1,0)),6))</f>
        <v/>
      </c>
      <c r="L14" t="str">
        <f>IF($C14&lt;&gt;"Scale","",COUNTIF(INDEX(Raw_Responses!$1:$1048576,0,MATCH($A14,Raw_Responses!$1:$1,0)),7))</f>
        <v/>
      </c>
      <c r="M14" t="str">
        <f>IF($C14&lt;&gt;"Scale","",COUNTIF(INDEX(Raw_Responses!$1:$1048576,0,MATCH($A14,Raw_Responses!$1:$1,0)),8))</f>
        <v/>
      </c>
      <c r="N14" t="str">
        <f>IF($C14&lt;&gt;"Scale","",COUNTIF(INDEX(Raw_Responses!$1:$1048576,0,MATCH($A14,Raw_Responses!$1:$1,0)),9))</f>
        <v/>
      </c>
      <c r="O14" t="str">
        <f>IF($C14&lt;&gt;"Scale","",COUNTIF(INDEX(Raw_Responses!$1:$1048576,0,MATCH($A14,Raw_Responses!$1:$1,0)),10))</f>
        <v/>
      </c>
    </row>
    <row r="15" spans="1:15" x14ac:dyDescent="0.35">
      <c r="A15">
        <f>INDEX(Question_Map!$A$2:$A$100,14)</f>
        <v>0</v>
      </c>
      <c r="B15">
        <f>INDEX(Question_Map!$B$2:$B$100,14)</f>
        <v>0</v>
      </c>
      <c r="C15">
        <f>INDEX(Question_Map!$C$2:$C$100,14)</f>
        <v>0</v>
      </c>
      <c r="D15">
        <f>INDEX(Question_Map!$D$2:$D$100,14)</f>
        <v>0</v>
      </c>
      <c r="E15">
        <f>INDEX(Question_Map!$E$2:$E$100,14)</f>
        <v>0</v>
      </c>
      <c r="F15" t="str">
        <f>IF($C15&lt;&gt;"Scale","",COUNTIF(INDEX(Raw_Responses!$1:$1048576,0,MATCH($A15,Raw_Responses!$1:$1,0)),1))</f>
        <v/>
      </c>
      <c r="G15" t="str">
        <f>IF($C15&lt;&gt;"Scale","",COUNTIF(INDEX(Raw_Responses!$1:$1048576,0,MATCH($A15,Raw_Responses!$1:$1,0)),2))</f>
        <v/>
      </c>
      <c r="H15" t="str">
        <f>IF($C15&lt;&gt;"Scale","",COUNTIF(INDEX(Raw_Responses!$1:$1048576,0,MATCH($A15,Raw_Responses!$1:$1,0)),3))</f>
        <v/>
      </c>
      <c r="I15" t="str">
        <f>IF($C15&lt;&gt;"Scale","",COUNTIF(INDEX(Raw_Responses!$1:$1048576,0,MATCH($A15,Raw_Responses!$1:$1,0)),4))</f>
        <v/>
      </c>
      <c r="J15" t="str">
        <f>IF($C15&lt;&gt;"Scale","",COUNTIF(INDEX(Raw_Responses!$1:$1048576,0,MATCH($A15,Raw_Responses!$1:$1,0)),5))</f>
        <v/>
      </c>
      <c r="K15" t="str">
        <f>IF($C15&lt;&gt;"Scale","",COUNTIF(INDEX(Raw_Responses!$1:$1048576,0,MATCH($A15,Raw_Responses!$1:$1,0)),6))</f>
        <v/>
      </c>
      <c r="L15" t="str">
        <f>IF($C15&lt;&gt;"Scale","",COUNTIF(INDEX(Raw_Responses!$1:$1048576,0,MATCH($A15,Raw_Responses!$1:$1,0)),7))</f>
        <v/>
      </c>
      <c r="M15" t="str">
        <f>IF($C15&lt;&gt;"Scale","",COUNTIF(INDEX(Raw_Responses!$1:$1048576,0,MATCH($A15,Raw_Responses!$1:$1,0)),8))</f>
        <v/>
      </c>
      <c r="N15" t="str">
        <f>IF($C15&lt;&gt;"Scale","",COUNTIF(INDEX(Raw_Responses!$1:$1048576,0,MATCH($A15,Raw_Responses!$1:$1,0)),9))</f>
        <v/>
      </c>
      <c r="O15" t="str">
        <f>IF($C15&lt;&gt;"Scale","",COUNTIF(INDEX(Raw_Responses!$1:$1048576,0,MATCH($A15,Raw_Responses!$1:$1,0)),10))</f>
        <v/>
      </c>
    </row>
    <row r="16" spans="1:15" x14ac:dyDescent="0.35">
      <c r="A16">
        <f>INDEX(Question_Map!$A$2:$A$100,15)</f>
        <v>0</v>
      </c>
      <c r="B16">
        <f>INDEX(Question_Map!$B$2:$B$100,15)</f>
        <v>0</v>
      </c>
      <c r="C16">
        <f>INDEX(Question_Map!$C$2:$C$100,15)</f>
        <v>0</v>
      </c>
      <c r="D16">
        <f>INDEX(Question_Map!$D$2:$D$100,15)</f>
        <v>0</v>
      </c>
      <c r="E16">
        <f>INDEX(Question_Map!$E$2:$E$100,15)</f>
        <v>0</v>
      </c>
      <c r="F16" t="str">
        <f>IF($C16&lt;&gt;"Scale","",COUNTIF(INDEX(Raw_Responses!$1:$1048576,0,MATCH($A16,Raw_Responses!$1:$1,0)),1))</f>
        <v/>
      </c>
      <c r="G16" t="str">
        <f>IF($C16&lt;&gt;"Scale","",COUNTIF(INDEX(Raw_Responses!$1:$1048576,0,MATCH($A16,Raw_Responses!$1:$1,0)),2))</f>
        <v/>
      </c>
      <c r="H16" t="str">
        <f>IF($C16&lt;&gt;"Scale","",COUNTIF(INDEX(Raw_Responses!$1:$1048576,0,MATCH($A16,Raw_Responses!$1:$1,0)),3))</f>
        <v/>
      </c>
      <c r="I16" t="str">
        <f>IF($C16&lt;&gt;"Scale","",COUNTIF(INDEX(Raw_Responses!$1:$1048576,0,MATCH($A16,Raw_Responses!$1:$1,0)),4))</f>
        <v/>
      </c>
      <c r="J16" t="str">
        <f>IF($C16&lt;&gt;"Scale","",COUNTIF(INDEX(Raw_Responses!$1:$1048576,0,MATCH($A16,Raw_Responses!$1:$1,0)),5))</f>
        <v/>
      </c>
      <c r="K16" t="str">
        <f>IF($C16&lt;&gt;"Scale","",COUNTIF(INDEX(Raw_Responses!$1:$1048576,0,MATCH($A16,Raw_Responses!$1:$1,0)),6))</f>
        <v/>
      </c>
      <c r="L16" t="str">
        <f>IF($C16&lt;&gt;"Scale","",COUNTIF(INDEX(Raw_Responses!$1:$1048576,0,MATCH($A16,Raw_Responses!$1:$1,0)),7))</f>
        <v/>
      </c>
      <c r="M16" t="str">
        <f>IF($C16&lt;&gt;"Scale","",COUNTIF(INDEX(Raw_Responses!$1:$1048576,0,MATCH($A16,Raw_Responses!$1:$1,0)),8))</f>
        <v/>
      </c>
      <c r="N16" t="str">
        <f>IF($C16&lt;&gt;"Scale","",COUNTIF(INDEX(Raw_Responses!$1:$1048576,0,MATCH($A16,Raw_Responses!$1:$1,0)),9))</f>
        <v/>
      </c>
      <c r="O16" t="str">
        <f>IF($C16&lt;&gt;"Scale","",COUNTIF(INDEX(Raw_Responses!$1:$1048576,0,MATCH($A16,Raw_Responses!$1:$1,0)),10))</f>
        <v/>
      </c>
    </row>
    <row r="17" spans="1:15" x14ac:dyDescent="0.35">
      <c r="A17">
        <f>INDEX(Question_Map!$A$2:$A$100,16)</f>
        <v>0</v>
      </c>
      <c r="B17">
        <f>INDEX(Question_Map!$B$2:$B$100,16)</f>
        <v>0</v>
      </c>
      <c r="C17">
        <f>INDEX(Question_Map!$C$2:$C$100,16)</f>
        <v>0</v>
      </c>
      <c r="D17">
        <f>INDEX(Question_Map!$D$2:$D$100,16)</f>
        <v>0</v>
      </c>
      <c r="E17">
        <f>INDEX(Question_Map!$E$2:$E$100,16)</f>
        <v>0</v>
      </c>
      <c r="F17" t="str">
        <f>IF($C17&lt;&gt;"Scale","",COUNTIF(INDEX(Raw_Responses!$1:$1048576,0,MATCH($A17,Raw_Responses!$1:$1,0)),1))</f>
        <v/>
      </c>
      <c r="G17" t="str">
        <f>IF($C17&lt;&gt;"Scale","",COUNTIF(INDEX(Raw_Responses!$1:$1048576,0,MATCH($A17,Raw_Responses!$1:$1,0)),2))</f>
        <v/>
      </c>
      <c r="H17" t="str">
        <f>IF($C17&lt;&gt;"Scale","",COUNTIF(INDEX(Raw_Responses!$1:$1048576,0,MATCH($A17,Raw_Responses!$1:$1,0)),3))</f>
        <v/>
      </c>
      <c r="I17" t="str">
        <f>IF($C17&lt;&gt;"Scale","",COUNTIF(INDEX(Raw_Responses!$1:$1048576,0,MATCH($A17,Raw_Responses!$1:$1,0)),4))</f>
        <v/>
      </c>
      <c r="J17" t="str">
        <f>IF($C17&lt;&gt;"Scale","",COUNTIF(INDEX(Raw_Responses!$1:$1048576,0,MATCH($A17,Raw_Responses!$1:$1,0)),5))</f>
        <v/>
      </c>
      <c r="K17" t="str">
        <f>IF($C17&lt;&gt;"Scale","",COUNTIF(INDEX(Raw_Responses!$1:$1048576,0,MATCH($A17,Raw_Responses!$1:$1,0)),6))</f>
        <v/>
      </c>
      <c r="L17" t="str">
        <f>IF($C17&lt;&gt;"Scale","",COUNTIF(INDEX(Raw_Responses!$1:$1048576,0,MATCH($A17,Raw_Responses!$1:$1,0)),7))</f>
        <v/>
      </c>
      <c r="M17" t="str">
        <f>IF($C17&lt;&gt;"Scale","",COUNTIF(INDEX(Raw_Responses!$1:$1048576,0,MATCH($A17,Raw_Responses!$1:$1,0)),8))</f>
        <v/>
      </c>
      <c r="N17" t="str">
        <f>IF($C17&lt;&gt;"Scale","",COUNTIF(INDEX(Raw_Responses!$1:$1048576,0,MATCH($A17,Raw_Responses!$1:$1,0)),9))</f>
        <v/>
      </c>
      <c r="O17" t="str">
        <f>IF($C17&lt;&gt;"Scale","",COUNTIF(INDEX(Raw_Responses!$1:$1048576,0,MATCH($A17,Raw_Responses!$1:$1,0)),10))</f>
        <v/>
      </c>
    </row>
    <row r="18" spans="1:15" x14ac:dyDescent="0.35">
      <c r="A18">
        <f>INDEX(Question_Map!$A$2:$A$100,17)</f>
        <v>0</v>
      </c>
      <c r="B18">
        <f>INDEX(Question_Map!$B$2:$B$100,17)</f>
        <v>0</v>
      </c>
      <c r="C18">
        <f>INDEX(Question_Map!$C$2:$C$100,17)</f>
        <v>0</v>
      </c>
      <c r="D18">
        <f>INDEX(Question_Map!$D$2:$D$100,17)</f>
        <v>0</v>
      </c>
      <c r="E18">
        <f>INDEX(Question_Map!$E$2:$E$100,17)</f>
        <v>0</v>
      </c>
      <c r="F18" t="str">
        <f>IF($C18&lt;&gt;"Scale","",COUNTIF(INDEX(Raw_Responses!$1:$1048576,0,MATCH($A18,Raw_Responses!$1:$1,0)),1))</f>
        <v/>
      </c>
      <c r="G18" t="str">
        <f>IF($C18&lt;&gt;"Scale","",COUNTIF(INDEX(Raw_Responses!$1:$1048576,0,MATCH($A18,Raw_Responses!$1:$1,0)),2))</f>
        <v/>
      </c>
      <c r="H18" t="str">
        <f>IF($C18&lt;&gt;"Scale","",COUNTIF(INDEX(Raw_Responses!$1:$1048576,0,MATCH($A18,Raw_Responses!$1:$1,0)),3))</f>
        <v/>
      </c>
      <c r="I18" t="str">
        <f>IF($C18&lt;&gt;"Scale","",COUNTIF(INDEX(Raw_Responses!$1:$1048576,0,MATCH($A18,Raw_Responses!$1:$1,0)),4))</f>
        <v/>
      </c>
      <c r="J18" t="str">
        <f>IF($C18&lt;&gt;"Scale","",COUNTIF(INDEX(Raw_Responses!$1:$1048576,0,MATCH($A18,Raw_Responses!$1:$1,0)),5))</f>
        <v/>
      </c>
      <c r="K18" t="str">
        <f>IF($C18&lt;&gt;"Scale","",COUNTIF(INDEX(Raw_Responses!$1:$1048576,0,MATCH($A18,Raw_Responses!$1:$1,0)),6))</f>
        <v/>
      </c>
      <c r="L18" t="str">
        <f>IF($C18&lt;&gt;"Scale","",COUNTIF(INDEX(Raw_Responses!$1:$1048576,0,MATCH($A18,Raw_Responses!$1:$1,0)),7))</f>
        <v/>
      </c>
      <c r="M18" t="str">
        <f>IF($C18&lt;&gt;"Scale","",COUNTIF(INDEX(Raw_Responses!$1:$1048576,0,MATCH($A18,Raw_Responses!$1:$1,0)),8))</f>
        <v/>
      </c>
      <c r="N18" t="str">
        <f>IF($C18&lt;&gt;"Scale","",COUNTIF(INDEX(Raw_Responses!$1:$1048576,0,MATCH($A18,Raw_Responses!$1:$1,0)),9))</f>
        <v/>
      </c>
      <c r="O18" t="str">
        <f>IF($C18&lt;&gt;"Scale","",COUNTIF(INDEX(Raw_Responses!$1:$1048576,0,MATCH($A18,Raw_Responses!$1:$1,0)),10))</f>
        <v/>
      </c>
    </row>
    <row r="19" spans="1:15" x14ac:dyDescent="0.35">
      <c r="A19">
        <f>INDEX(Question_Map!$A$2:$A$100,18)</f>
        <v>0</v>
      </c>
      <c r="B19">
        <f>INDEX(Question_Map!$B$2:$B$100,18)</f>
        <v>0</v>
      </c>
      <c r="C19">
        <f>INDEX(Question_Map!$C$2:$C$100,18)</f>
        <v>0</v>
      </c>
      <c r="D19">
        <f>INDEX(Question_Map!$D$2:$D$100,18)</f>
        <v>0</v>
      </c>
      <c r="E19">
        <f>INDEX(Question_Map!$E$2:$E$100,18)</f>
        <v>0</v>
      </c>
      <c r="F19" t="str">
        <f>IF($C19&lt;&gt;"Scale","",COUNTIF(INDEX(Raw_Responses!$1:$1048576,0,MATCH($A19,Raw_Responses!$1:$1,0)),1))</f>
        <v/>
      </c>
      <c r="G19" t="str">
        <f>IF($C19&lt;&gt;"Scale","",COUNTIF(INDEX(Raw_Responses!$1:$1048576,0,MATCH($A19,Raw_Responses!$1:$1,0)),2))</f>
        <v/>
      </c>
      <c r="H19" t="str">
        <f>IF($C19&lt;&gt;"Scale","",COUNTIF(INDEX(Raw_Responses!$1:$1048576,0,MATCH($A19,Raw_Responses!$1:$1,0)),3))</f>
        <v/>
      </c>
      <c r="I19" t="str">
        <f>IF($C19&lt;&gt;"Scale","",COUNTIF(INDEX(Raw_Responses!$1:$1048576,0,MATCH($A19,Raw_Responses!$1:$1,0)),4))</f>
        <v/>
      </c>
      <c r="J19" t="str">
        <f>IF($C19&lt;&gt;"Scale","",COUNTIF(INDEX(Raw_Responses!$1:$1048576,0,MATCH($A19,Raw_Responses!$1:$1,0)),5))</f>
        <v/>
      </c>
      <c r="K19" t="str">
        <f>IF($C19&lt;&gt;"Scale","",COUNTIF(INDEX(Raw_Responses!$1:$1048576,0,MATCH($A19,Raw_Responses!$1:$1,0)),6))</f>
        <v/>
      </c>
      <c r="L19" t="str">
        <f>IF($C19&lt;&gt;"Scale","",COUNTIF(INDEX(Raw_Responses!$1:$1048576,0,MATCH($A19,Raw_Responses!$1:$1,0)),7))</f>
        <v/>
      </c>
      <c r="M19" t="str">
        <f>IF($C19&lt;&gt;"Scale","",COUNTIF(INDEX(Raw_Responses!$1:$1048576,0,MATCH($A19,Raw_Responses!$1:$1,0)),8))</f>
        <v/>
      </c>
      <c r="N19" t="str">
        <f>IF($C19&lt;&gt;"Scale","",COUNTIF(INDEX(Raw_Responses!$1:$1048576,0,MATCH($A19,Raw_Responses!$1:$1,0)),9))</f>
        <v/>
      </c>
      <c r="O19" t="str">
        <f>IF($C19&lt;&gt;"Scale","",COUNTIF(INDEX(Raw_Responses!$1:$1048576,0,MATCH($A19,Raw_Responses!$1:$1,0)),10))</f>
        <v/>
      </c>
    </row>
    <row r="20" spans="1:15" x14ac:dyDescent="0.35">
      <c r="A20">
        <f>INDEX(Question_Map!$A$2:$A$100,19)</f>
        <v>0</v>
      </c>
      <c r="B20">
        <f>INDEX(Question_Map!$B$2:$B$100,19)</f>
        <v>0</v>
      </c>
      <c r="C20">
        <f>INDEX(Question_Map!$C$2:$C$100,19)</f>
        <v>0</v>
      </c>
      <c r="D20">
        <f>INDEX(Question_Map!$D$2:$D$100,19)</f>
        <v>0</v>
      </c>
      <c r="E20">
        <f>INDEX(Question_Map!$E$2:$E$100,19)</f>
        <v>0</v>
      </c>
      <c r="F20" t="str">
        <f>IF($C20&lt;&gt;"Scale","",COUNTIF(INDEX(Raw_Responses!$1:$1048576,0,MATCH($A20,Raw_Responses!$1:$1,0)),1))</f>
        <v/>
      </c>
      <c r="G20" t="str">
        <f>IF($C20&lt;&gt;"Scale","",COUNTIF(INDEX(Raw_Responses!$1:$1048576,0,MATCH($A20,Raw_Responses!$1:$1,0)),2))</f>
        <v/>
      </c>
      <c r="H20" t="str">
        <f>IF($C20&lt;&gt;"Scale","",COUNTIF(INDEX(Raw_Responses!$1:$1048576,0,MATCH($A20,Raw_Responses!$1:$1,0)),3))</f>
        <v/>
      </c>
      <c r="I20" t="str">
        <f>IF($C20&lt;&gt;"Scale","",COUNTIF(INDEX(Raw_Responses!$1:$1048576,0,MATCH($A20,Raw_Responses!$1:$1,0)),4))</f>
        <v/>
      </c>
      <c r="J20" t="str">
        <f>IF($C20&lt;&gt;"Scale","",COUNTIF(INDEX(Raw_Responses!$1:$1048576,0,MATCH($A20,Raw_Responses!$1:$1,0)),5))</f>
        <v/>
      </c>
      <c r="K20" t="str">
        <f>IF($C20&lt;&gt;"Scale","",COUNTIF(INDEX(Raw_Responses!$1:$1048576,0,MATCH($A20,Raw_Responses!$1:$1,0)),6))</f>
        <v/>
      </c>
      <c r="L20" t="str">
        <f>IF($C20&lt;&gt;"Scale","",COUNTIF(INDEX(Raw_Responses!$1:$1048576,0,MATCH($A20,Raw_Responses!$1:$1,0)),7))</f>
        <v/>
      </c>
      <c r="M20" t="str">
        <f>IF($C20&lt;&gt;"Scale","",COUNTIF(INDEX(Raw_Responses!$1:$1048576,0,MATCH($A20,Raw_Responses!$1:$1,0)),8))</f>
        <v/>
      </c>
      <c r="N20" t="str">
        <f>IF($C20&lt;&gt;"Scale","",COUNTIF(INDEX(Raw_Responses!$1:$1048576,0,MATCH($A20,Raw_Responses!$1:$1,0)),9))</f>
        <v/>
      </c>
      <c r="O20" t="str">
        <f>IF($C20&lt;&gt;"Scale","",COUNTIF(INDEX(Raw_Responses!$1:$1048576,0,MATCH($A20,Raw_Responses!$1:$1,0)),10))</f>
        <v/>
      </c>
    </row>
    <row r="21" spans="1:15" x14ac:dyDescent="0.35">
      <c r="A21">
        <f>INDEX(Question_Map!$A$2:$A$100,20)</f>
        <v>0</v>
      </c>
      <c r="B21">
        <f>INDEX(Question_Map!$B$2:$B$100,20)</f>
        <v>0</v>
      </c>
      <c r="C21">
        <f>INDEX(Question_Map!$C$2:$C$100,20)</f>
        <v>0</v>
      </c>
      <c r="D21">
        <f>INDEX(Question_Map!$D$2:$D$100,20)</f>
        <v>0</v>
      </c>
      <c r="E21">
        <f>INDEX(Question_Map!$E$2:$E$100,20)</f>
        <v>0</v>
      </c>
      <c r="F21" t="str">
        <f>IF($C21&lt;&gt;"Scale","",COUNTIF(INDEX(Raw_Responses!$1:$1048576,0,MATCH($A21,Raw_Responses!$1:$1,0)),1))</f>
        <v/>
      </c>
      <c r="G21" t="str">
        <f>IF($C21&lt;&gt;"Scale","",COUNTIF(INDEX(Raw_Responses!$1:$1048576,0,MATCH($A21,Raw_Responses!$1:$1,0)),2))</f>
        <v/>
      </c>
      <c r="H21" t="str">
        <f>IF($C21&lt;&gt;"Scale","",COUNTIF(INDEX(Raw_Responses!$1:$1048576,0,MATCH($A21,Raw_Responses!$1:$1,0)),3))</f>
        <v/>
      </c>
      <c r="I21" t="str">
        <f>IF($C21&lt;&gt;"Scale","",COUNTIF(INDEX(Raw_Responses!$1:$1048576,0,MATCH($A21,Raw_Responses!$1:$1,0)),4))</f>
        <v/>
      </c>
      <c r="J21" t="str">
        <f>IF($C21&lt;&gt;"Scale","",COUNTIF(INDEX(Raw_Responses!$1:$1048576,0,MATCH($A21,Raw_Responses!$1:$1,0)),5))</f>
        <v/>
      </c>
      <c r="K21" t="str">
        <f>IF($C21&lt;&gt;"Scale","",COUNTIF(INDEX(Raw_Responses!$1:$1048576,0,MATCH($A21,Raw_Responses!$1:$1,0)),6))</f>
        <v/>
      </c>
      <c r="L21" t="str">
        <f>IF($C21&lt;&gt;"Scale","",COUNTIF(INDEX(Raw_Responses!$1:$1048576,0,MATCH($A21,Raw_Responses!$1:$1,0)),7))</f>
        <v/>
      </c>
      <c r="M21" t="str">
        <f>IF($C21&lt;&gt;"Scale","",COUNTIF(INDEX(Raw_Responses!$1:$1048576,0,MATCH($A21,Raw_Responses!$1:$1,0)),8))</f>
        <v/>
      </c>
      <c r="N21" t="str">
        <f>IF($C21&lt;&gt;"Scale","",COUNTIF(INDEX(Raw_Responses!$1:$1048576,0,MATCH($A21,Raw_Responses!$1:$1,0)),9))</f>
        <v/>
      </c>
      <c r="O21" t="str">
        <f>IF($C21&lt;&gt;"Scale","",COUNTIF(INDEX(Raw_Responses!$1:$1048576,0,MATCH($A21,Raw_Responses!$1:$1,0)),10))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A2" sqref="A2"/>
    </sheetView>
  </sheetViews>
  <sheetFormatPr defaultRowHeight="14.5" x14ac:dyDescent="0.35"/>
  <cols>
    <col min="1" max="1" width="50" customWidth="1"/>
    <col min="2" max="2" width="28" customWidth="1"/>
    <col min="3" max="3" width="10" customWidth="1"/>
  </cols>
  <sheetData>
    <row r="1" spans="1:3" x14ac:dyDescent="0.35">
      <c r="A1" s="1" t="s">
        <v>60</v>
      </c>
      <c r="B1" s="1" t="s">
        <v>61</v>
      </c>
      <c r="C1" s="1" t="s">
        <v>62</v>
      </c>
    </row>
    <row r="2" spans="1:3" x14ac:dyDescent="0.35">
      <c r="C2" t="str">
        <f>IF($A2="","",COUNTIF(INDEX(Raw_Responses!$1:$1048576,0,MATCH($A2,Raw_Responses!$1:$1,0)),$B2))</f>
        <v/>
      </c>
    </row>
    <row r="3" spans="1:3" x14ac:dyDescent="0.35">
      <c r="C3" t="str">
        <f>IF($A3="","",COUNTIF(INDEX(Raw_Responses!$1:$1048576,0,MATCH($A3,Raw_Responses!$1:$1,0)),$B3))</f>
        <v/>
      </c>
    </row>
    <row r="4" spans="1:3" x14ac:dyDescent="0.35">
      <c r="C4" t="str">
        <f>IF($A4="","",COUNTIF(INDEX(Raw_Responses!$1:$1048576,0,MATCH($A4,Raw_Responses!$1:$1,0)),$B4))</f>
        <v/>
      </c>
    </row>
    <row r="5" spans="1:3" x14ac:dyDescent="0.35">
      <c r="C5" t="str">
        <f>IF($A5="","",COUNTIF(INDEX(Raw_Responses!$1:$1048576,0,MATCH($A5,Raw_Responses!$1:$1,0)),$B5))</f>
        <v/>
      </c>
    </row>
    <row r="6" spans="1:3" x14ac:dyDescent="0.35">
      <c r="C6" t="str">
        <f>IF($A6="","",COUNTIF(INDEX(Raw_Responses!$1:$1048576,0,MATCH($A6,Raw_Responses!$1:$1,0)),$B6))</f>
        <v/>
      </c>
    </row>
    <row r="7" spans="1:3" x14ac:dyDescent="0.35">
      <c r="C7" t="str">
        <f>IF($A7="","",COUNTIF(INDEX(Raw_Responses!$1:$1048576,0,MATCH($A7,Raw_Responses!$1:$1,0)),$B7))</f>
        <v/>
      </c>
    </row>
    <row r="8" spans="1:3" x14ac:dyDescent="0.35">
      <c r="C8" t="str">
        <f>IF($A8="","",COUNTIF(INDEX(Raw_Responses!$1:$1048576,0,MATCH($A8,Raw_Responses!$1:$1,0)),$B8))</f>
        <v/>
      </c>
    </row>
    <row r="9" spans="1:3" x14ac:dyDescent="0.35">
      <c r="C9" t="str">
        <f>IF($A9="","",COUNTIF(INDEX(Raw_Responses!$1:$1048576,0,MATCH($A9,Raw_Responses!$1:$1,0)),$B9))</f>
        <v/>
      </c>
    </row>
    <row r="10" spans="1:3" x14ac:dyDescent="0.35">
      <c r="C10" t="str">
        <f>IF($A10="","",COUNTIF(INDEX(Raw_Responses!$1:$1048576,0,MATCH($A10,Raw_Responses!$1:$1,0)),$B10))</f>
        <v/>
      </c>
    </row>
    <row r="11" spans="1:3" x14ac:dyDescent="0.35">
      <c r="C11" t="str">
        <f>IF($A11="","",COUNTIF(INDEX(Raw_Responses!$1:$1048576,0,MATCH($A11,Raw_Responses!$1:$1,0)),$B11))</f>
        <v/>
      </c>
    </row>
    <row r="12" spans="1:3" x14ac:dyDescent="0.35">
      <c r="C12" t="str">
        <f>IF($A12="","",COUNTIF(INDEX(Raw_Responses!$1:$1048576,0,MATCH($A12,Raw_Responses!$1:$1,0)),$B12))</f>
        <v/>
      </c>
    </row>
    <row r="13" spans="1:3" x14ac:dyDescent="0.35">
      <c r="C13" t="str">
        <f>IF($A13="","",COUNTIF(INDEX(Raw_Responses!$1:$1048576,0,MATCH($A13,Raw_Responses!$1:$1,0)),$B13))</f>
        <v/>
      </c>
    </row>
    <row r="14" spans="1:3" x14ac:dyDescent="0.35">
      <c r="C14" t="str">
        <f>IF($A14="","",COUNTIF(INDEX(Raw_Responses!$1:$1048576,0,MATCH($A14,Raw_Responses!$1:$1,0)),$B14))</f>
        <v/>
      </c>
    </row>
    <row r="15" spans="1:3" x14ac:dyDescent="0.35">
      <c r="C15" t="str">
        <f>IF($A15="","",COUNTIF(INDEX(Raw_Responses!$1:$1048576,0,MATCH($A15,Raw_Responses!$1:$1,0)),$B15))</f>
        <v/>
      </c>
    </row>
    <row r="16" spans="1:3" x14ac:dyDescent="0.35">
      <c r="C16" t="str">
        <f>IF($A16="","",COUNTIF(INDEX(Raw_Responses!$1:$1048576,0,MATCH($A16,Raw_Responses!$1:$1,0)),$B16))</f>
        <v/>
      </c>
    </row>
    <row r="17" spans="3:3" x14ac:dyDescent="0.35">
      <c r="C17" t="str">
        <f>IF($A17="","",COUNTIF(INDEX(Raw_Responses!$1:$1048576,0,MATCH($A17,Raw_Responses!$1:$1,0)),$B17))</f>
        <v/>
      </c>
    </row>
    <row r="18" spans="3:3" x14ac:dyDescent="0.35">
      <c r="C18" t="str">
        <f>IF($A18="","",COUNTIF(INDEX(Raw_Responses!$1:$1048576,0,MATCH($A18,Raw_Responses!$1:$1,0)),$B18))</f>
        <v/>
      </c>
    </row>
    <row r="19" spans="3:3" x14ac:dyDescent="0.35">
      <c r="C19" t="str">
        <f>IF($A19="","",COUNTIF(INDEX(Raw_Responses!$1:$1048576,0,MATCH($A19,Raw_Responses!$1:$1,0)),$B19))</f>
        <v/>
      </c>
    </row>
    <row r="20" spans="3:3" x14ac:dyDescent="0.35">
      <c r="C20" t="str">
        <f>IF($A20="","",COUNTIF(INDEX(Raw_Responses!$1:$1048576,0,MATCH($A20,Raw_Responses!$1:$1,0)),$B20))</f>
        <v/>
      </c>
    </row>
    <row r="21" spans="3:3" x14ac:dyDescent="0.35">
      <c r="C21" t="str">
        <f>IF($A21="","",COUNTIF(INDEX(Raw_Responses!$1:$1048576,0,MATCH($A21,Raw_Responses!$1:$1,0)),$B21))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activeCell="E18" sqref="E18"/>
    </sheetView>
  </sheetViews>
  <sheetFormatPr defaultRowHeight="14.5" x14ac:dyDescent="0.35"/>
  <cols>
    <col min="1" max="1" width="66.453125" bestFit="1" customWidth="1"/>
  </cols>
  <sheetData>
    <row r="1" spans="1:2" ht="15.5" x14ac:dyDescent="0.35">
      <c r="A1" s="2" t="s">
        <v>63</v>
      </c>
    </row>
    <row r="3" spans="1:2" x14ac:dyDescent="0.35">
      <c r="A3" t="s">
        <v>25</v>
      </c>
      <c r="B3" t="s">
        <v>44</v>
      </c>
    </row>
    <row r="4" spans="1:2" x14ac:dyDescent="0.35">
      <c r="A4" t="str">
        <f>Scales_Averages!$A$2</f>
        <v>I could complete the key tasks without help.</v>
      </c>
      <c r="B4">
        <f>Scales_Averages!$E$2</f>
        <v>0</v>
      </c>
    </row>
    <row r="5" spans="1:2" x14ac:dyDescent="0.35">
      <c r="A5" t="str">
        <f>Scales_Averages!$A$3</f>
        <v>Labels and buttons were clear.</v>
      </c>
      <c r="B5">
        <f>Scales_Averages!$E$3</f>
        <v>0</v>
      </c>
    </row>
    <row r="6" spans="1:2" x14ac:dyDescent="0.35">
      <c r="A6" t="str">
        <f>Scales_Averages!$A$4</f>
        <v>The layout was easy to navigate.</v>
      </c>
      <c r="B6">
        <f>Scales_Averages!$E$4</f>
        <v>0</v>
      </c>
    </row>
    <row r="7" spans="1:2" x14ac:dyDescent="0.35">
      <c r="A7" t="str">
        <f>Scales_Averages!$A$5</f>
        <v>Pages loaded fast enough.</v>
      </c>
      <c r="B7">
        <f>Scales_Averages!$E$5</f>
        <v>0</v>
      </c>
    </row>
    <row r="8" spans="1:2" x14ac:dyDescent="0.35">
      <c r="A8" t="str">
        <f>Scales_Averages!$A$6</f>
        <v>It worked comfortably on my phone/tablet.</v>
      </c>
      <c r="B8">
        <f>Scales_Averages!$E$6</f>
        <v>0</v>
      </c>
    </row>
    <row r="9" spans="1:2" x14ac:dyDescent="0.35">
      <c r="A9" t="str">
        <f>Scales_Averages!$A$7</f>
        <v>Overall, it meets my needs.</v>
      </c>
      <c r="B9">
        <f>Scales_Averages!$E$7</f>
        <v>0</v>
      </c>
    </row>
    <row r="10" spans="1:2" x14ac:dyDescent="0.35">
      <c r="A10" t="str">
        <f>Scales_Averages!$A$8</f>
        <v/>
      </c>
      <c r="B10" t="str">
        <f>Scales_Averages!$E$8</f>
        <v/>
      </c>
    </row>
    <row r="11" spans="1:2" x14ac:dyDescent="0.35">
      <c r="A11" t="str">
        <f>Scales_Averages!$A$9</f>
        <v/>
      </c>
      <c r="B11" t="str">
        <f>Scales_Averages!$E$9</f>
        <v/>
      </c>
    </row>
    <row r="12" spans="1:2" x14ac:dyDescent="0.35">
      <c r="A12" t="str">
        <f>Scales_Averages!$A$10</f>
        <v/>
      </c>
      <c r="B12" t="str">
        <f>Scales_Averages!$E$10</f>
        <v/>
      </c>
    </row>
    <row r="13" spans="1:2" x14ac:dyDescent="0.35">
      <c r="A13" t="str">
        <f>Scales_Averages!$A$11</f>
        <v/>
      </c>
      <c r="B13" t="str">
        <f>Scales_Averages!$E$11</f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Raw_Responses</vt:lpstr>
      <vt:lpstr>Question_Map</vt:lpstr>
      <vt:lpstr>Scales_Averages</vt:lpstr>
      <vt:lpstr>Scale_Distribution</vt:lpstr>
      <vt:lpstr>MCQ_Summary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Shubomi Priestley (student)</cp:lastModifiedBy>
  <dcterms:created xsi:type="dcterms:W3CDTF">2025-11-12T13:02:13Z</dcterms:created>
  <dcterms:modified xsi:type="dcterms:W3CDTF">2025-11-12T14:29:04Z</dcterms:modified>
</cp:coreProperties>
</file>